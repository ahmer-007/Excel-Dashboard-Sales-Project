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hidePivotFieldList="1" defaultThemeVersion="202300"/>
  <mc:AlternateContent xmlns:mc="http://schemas.openxmlformats.org/markup-compatibility/2006">
    <mc:Choice Requires="x15">
      <x15ac:absPath xmlns:x15ac="http://schemas.microsoft.com/office/spreadsheetml/2010/11/ac" url="C:\Users\user\Desktop\ROUTE__TY__SHOOT\"/>
    </mc:Choice>
  </mc:AlternateContent>
  <xr:revisionPtr revIDLastSave="0" documentId="8_{0B765560-BF45-450B-BD10-DE431E899E05}" xr6:coauthVersionLast="47" xr6:coauthVersionMax="47" xr10:uidLastSave="{00000000-0000-0000-0000-000000000000}"/>
  <bookViews>
    <workbookView xWindow="-120" yWindow="-120" windowWidth="20730" windowHeight="11040" xr2:uid="{7DDE8DF2-139B-492A-8D87-2807CD2857C9}"/>
  </bookViews>
  <sheets>
    <sheet name="Dashboard_007" sheetId="3" r:id="rId1"/>
    <sheet name="Sheet1" sheetId="1" r:id="rId2"/>
  </sheets>
  <definedNames>
    <definedName name="Slicer_Region">#N/A</definedName>
  </definedNames>
  <calcPr calcId="191029"/>
  <pivotCaches>
    <pivotCache cacheId="36"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3" i="1" l="1"/>
  <c r="K3" i="1" s="1"/>
  <c r="L3" i="1" s="1"/>
  <c r="A2" i="1"/>
  <c r="A21" i="1"/>
  <c r="A12" i="1"/>
  <c r="A13" i="1"/>
  <c r="A14" i="1"/>
  <c r="A15" i="1"/>
  <c r="A16" i="1"/>
  <c r="A17" i="1"/>
  <c r="A18" i="1"/>
  <c r="A19" i="1"/>
  <c r="A20"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1" i="1"/>
  <c r="A3" i="1"/>
  <c r="A4" i="1"/>
  <c r="A5" i="1"/>
  <c r="A6" i="1"/>
  <c r="A7" i="1"/>
  <c r="A8" i="1"/>
  <c r="A9" i="1"/>
  <c r="A10" i="1"/>
  <c r="I142" i="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2" i="1"/>
  <c r="K2" i="1" s="1"/>
  <c r="L2" i="1" s="1"/>
</calcChain>
</file>

<file path=xl/sharedStrings.xml><?xml version="1.0" encoding="utf-8"?>
<sst xmlns="http://schemas.openxmlformats.org/spreadsheetml/2006/main" count="323" uniqueCount="159">
  <si>
    <t>Emp Code</t>
  </si>
  <si>
    <t>Sales Executive</t>
  </si>
  <si>
    <t>Region</t>
  </si>
  <si>
    <t>Day1</t>
  </si>
  <si>
    <t>Day2</t>
  </si>
  <si>
    <t>Day3</t>
  </si>
  <si>
    <t>Day4</t>
  </si>
  <si>
    <t>Day5</t>
  </si>
  <si>
    <t>Total Sales</t>
  </si>
  <si>
    <t>Target</t>
  </si>
  <si>
    <t>Target Hit %</t>
  </si>
  <si>
    <t>Away From Target %</t>
  </si>
  <si>
    <t>Sales Executives</t>
  </si>
  <si>
    <t>Ahmed Khan</t>
  </si>
  <si>
    <t>Ayesha Malik</t>
  </si>
  <si>
    <t>Omar Siddiqui</t>
  </si>
  <si>
    <t>Fatima Ali</t>
  </si>
  <si>
    <t>Hassan Sheikh</t>
  </si>
  <si>
    <t>Zainab Qureshi</t>
  </si>
  <si>
    <t>Imran Hussain</t>
  </si>
  <si>
    <t>Noor Javed</t>
  </si>
  <si>
    <t>Bilal Shah</t>
  </si>
  <si>
    <t>Sana Farooq</t>
  </si>
  <si>
    <t>Yusuf Raza</t>
  </si>
  <si>
    <t>Amira Khan</t>
  </si>
  <si>
    <t>Salman Aziz</t>
  </si>
  <si>
    <t>Amina Begum</t>
  </si>
  <si>
    <t>Tariq Mahmood</t>
  </si>
  <si>
    <t>Rabia Siddiq</t>
  </si>
  <si>
    <t>Kareem Abbas</t>
  </si>
  <si>
    <t>Sadia Khan</t>
  </si>
  <si>
    <t>Javed Iqbal</t>
  </si>
  <si>
    <t>Maryam Syed</t>
  </si>
  <si>
    <t>Farhan Zafar</t>
  </si>
  <si>
    <t>Zoya Mirza</t>
  </si>
  <si>
    <t>Rashid Anwar</t>
  </si>
  <si>
    <t>Laila Hassan</t>
  </si>
  <si>
    <t>Nadeem Saeed</t>
  </si>
  <si>
    <t>Sumaira Tariq</t>
  </si>
  <si>
    <t>Adil Riaz</t>
  </si>
  <si>
    <t>Hina Shahid</t>
  </si>
  <si>
    <t>Saif Ullah</t>
  </si>
  <si>
    <t>Sadia Noor</t>
  </si>
  <si>
    <t>Faisal Ahmed</t>
  </si>
  <si>
    <t>Rabia Khan</t>
  </si>
  <si>
    <t>Noman Farooq</t>
  </si>
  <si>
    <t>Hafsa Tariq</t>
  </si>
  <si>
    <t>Imtiaz Ali</t>
  </si>
  <si>
    <t>Amina Jamil</t>
  </si>
  <si>
    <t>Raza Ahmed</t>
  </si>
  <si>
    <t>Sidra Shah</t>
  </si>
  <si>
    <t>Asif Malik</t>
  </si>
  <si>
    <t>Aaliyah Qureshi</t>
  </si>
  <si>
    <t>Shahid Raza</t>
  </si>
  <si>
    <t>Huma Khalid</t>
  </si>
  <si>
    <t>Zubair Khan</t>
  </si>
  <si>
    <t>Saba Yousuf</t>
  </si>
  <si>
    <t>Waleed Hassan</t>
  </si>
  <si>
    <t>Rania Tariq</t>
  </si>
  <si>
    <t>Nabeel Khan</t>
  </si>
  <si>
    <t>Farah Ahmed</t>
  </si>
  <si>
    <t>Adeel Malik</t>
  </si>
  <si>
    <t>Sahar Noor</t>
  </si>
  <si>
    <t>Aziz Ahmed</t>
  </si>
  <si>
    <t>Sanaullah Malik</t>
  </si>
  <si>
    <t>Aisha Tariq</t>
  </si>
  <si>
    <t>Rameez Shah</t>
  </si>
  <si>
    <t>Rida Farooq</t>
  </si>
  <si>
    <t>Mahmood Ali</t>
  </si>
  <si>
    <t>Sadia Bashir</t>
  </si>
  <si>
    <t>Zeeshan Malik</t>
  </si>
  <si>
    <t>Maryam Khalid</t>
  </si>
  <si>
    <t>Nawaz Ahmed</t>
  </si>
  <si>
    <t>Saba Riaz</t>
  </si>
  <si>
    <t>Haris Khan</t>
  </si>
  <si>
    <t>Shazia Malik</t>
  </si>
  <si>
    <t>Fahad Hussain</t>
  </si>
  <si>
    <t>Rabia Nisar</t>
  </si>
  <si>
    <t>Bilal Qureshi</t>
  </si>
  <si>
    <t>Sadia Raza</t>
  </si>
  <si>
    <t>Khalid Anwar</t>
  </si>
  <si>
    <t>Noor Jahan</t>
  </si>
  <si>
    <t>Rizwan Ahmed</t>
  </si>
  <si>
    <t>Amina Farooq</t>
  </si>
  <si>
    <t>Tahir Malik</t>
  </si>
  <si>
    <t>Sana Shah</t>
  </si>
  <si>
    <t>Owais Hassan</t>
  </si>
  <si>
    <t>Farzana Khalid</t>
  </si>
  <si>
    <t>Junaid Malik</t>
  </si>
  <si>
    <t>Rania Saeed</t>
  </si>
  <si>
    <t>Aamir Khan</t>
  </si>
  <si>
    <t>Shumaila Tariq</t>
  </si>
  <si>
    <t>Arshad Ali</t>
  </si>
  <si>
    <t>Hina Ahmed</t>
  </si>
  <si>
    <t>Adnan Malik</t>
  </si>
  <si>
    <t>Nida Riaz</t>
  </si>
  <si>
    <t>Fawad Hussain</t>
  </si>
  <si>
    <t>Sadia Anwar</t>
  </si>
  <si>
    <t>Shahid Qureshi</t>
  </si>
  <si>
    <t>Saira Malik</t>
  </si>
  <si>
    <t>Zain Hussain</t>
  </si>
  <si>
    <t>Rabia Noor</t>
  </si>
  <si>
    <t>Faisal Khan</t>
  </si>
  <si>
    <t>Sadia Javed</t>
  </si>
  <si>
    <t>Usman Raza</t>
  </si>
  <si>
    <t>Adeel Khalid</t>
  </si>
  <si>
    <t>Nida Malik</t>
  </si>
  <si>
    <t>Saad Ahmed</t>
  </si>
  <si>
    <t>Huma Qureshi</t>
  </si>
  <si>
    <t>Tariq Malik</t>
  </si>
  <si>
    <t>Hira Khan</t>
  </si>
  <si>
    <t>Javed Riaz</t>
  </si>
  <si>
    <t>Amna Farooq</t>
  </si>
  <si>
    <t>Zubair Malik</t>
  </si>
  <si>
    <t>Khadija Ali</t>
  </si>
  <si>
    <t>Omar Khan</t>
  </si>
  <si>
    <t>Sadia Ahmed</t>
  </si>
  <si>
    <t>Farhan Malik</t>
  </si>
  <si>
    <t>Maryam Hassan</t>
  </si>
  <si>
    <t>Naveed Qureshi</t>
  </si>
  <si>
    <t>Sana Riaz</t>
  </si>
  <si>
    <t>Adil Khan</t>
  </si>
  <si>
    <t>Zainab Hussain</t>
  </si>
  <si>
    <t>Hassan Raza</t>
  </si>
  <si>
    <t>Noor Ahmed</t>
  </si>
  <si>
    <t>Fahad Malik</t>
  </si>
  <si>
    <t>Junaid Hussain</t>
  </si>
  <si>
    <t>Saba Malik</t>
  </si>
  <si>
    <t>Tariq Raza</t>
  </si>
  <si>
    <t>Amina Shah</t>
  </si>
  <si>
    <t>Shahid Malik</t>
  </si>
  <si>
    <t>Sana Ahmed</t>
  </si>
  <si>
    <t>Bilal Riaz</t>
  </si>
  <si>
    <t>Sadia Hussain</t>
  </si>
  <si>
    <t>Rizwan Khan</t>
  </si>
  <si>
    <t>Hina Malik</t>
  </si>
  <si>
    <t>Ayesha Khan</t>
  </si>
  <si>
    <t>Omar Malik</t>
  </si>
  <si>
    <t>Sadia Qureshi</t>
  </si>
  <si>
    <t>Rania Hussain</t>
  </si>
  <si>
    <t>Nadeem Malik</t>
  </si>
  <si>
    <t>Maryam Riaz</t>
  </si>
  <si>
    <t>Adeel Hussain</t>
  </si>
  <si>
    <t>Usman Malik</t>
  </si>
  <si>
    <t>Sana Hussain</t>
  </si>
  <si>
    <t>Tariq Ahmed</t>
  </si>
  <si>
    <t>Sadia Riaz</t>
  </si>
  <si>
    <t>Karachi</t>
  </si>
  <si>
    <t>Lahore</t>
  </si>
  <si>
    <t>Islamabad</t>
  </si>
  <si>
    <t>Faisalabad</t>
  </si>
  <si>
    <t>Rawalpindi</t>
  </si>
  <si>
    <t>Multan</t>
  </si>
  <si>
    <t>Quetta</t>
  </si>
  <si>
    <t>Peshawar</t>
  </si>
  <si>
    <t xml:space="preserve"> Total_Sales</t>
  </si>
  <si>
    <t>Target Hit% wise</t>
  </si>
  <si>
    <t>Away from Target</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</si>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</sst>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Aptos Narrow"/>
      <family val="2"/>
      <scheme val="minor"/>
    </font>
    <font>
      <b/>
      <sz val="18"/>
      <color rgb="FF00B0F0"/>
      <name val="Aptos Narrow"/>
      <family val="2"/>
      <scheme val="minor"/>
    </font>
    <font>
      <sz val="11"/>
      <name val="Aptos Narrow"/>
      <family val="2"/>
      <scheme val="minor"/>
    </font>
    <font>
      <sz val="8"/>
      <color rgb="FF000000"/>
      <name val="Segoe UI"/>
      <family val="2"/>
    </font>
  </fonts>
  <fills count="6">
    <fill>
      <patternFill patternType="none"/>
    </fill>
    <fill>
      <patternFill patternType="gray125"/>
    </fill>
    <fill>
      <patternFill patternType="solid">
        <fgColor rgb="FF009999"/>
        <bgColor indexed="64"/>
      </patternFill>
    </fill>
    <fill>
      <patternFill patternType="solid">
        <fgColor rgb="FFFFDC6D"/>
        <bgColor indexed="64"/>
      </patternFill>
    </fill>
    <fill>
      <patternFill patternType="solid">
        <fgColor theme="9" tint="0.59999389629810485"/>
        <bgColor indexed="64"/>
      </patternFill>
    </fill>
    <fill>
      <patternFill patternType="solid">
        <fgColor theme="4" tint="0.59999389629810485"/>
        <bgColor indexed="64"/>
      </patternFill>
    </fill>
  </fills>
  <borders count="1">
    <border>
      <left/>
      <right/>
      <top/>
      <bottom/>
      <diagonal/>
    </border>
  </borders>
  <cellStyleXfs count="1">
    <xf numFmtId="0" fontId="0" fillId="0" borderId="0"/>
  </cellStyleXfs>
  <cellXfs count="12">
    <xf numFmtId="0" fontId="0" fillId="0" borderId="0" xfId="0"/>
    <xf numFmtId="0" fontId="1" fillId="0" borderId="0" xfId="0" applyFont="1"/>
    <xf numFmtId="0" fontId="0" fillId="0" borderId="0" xfId="0" applyAlignment="1">
      <alignment horizontal="left"/>
    </xf>
    <xf numFmtId="10" fontId="1" fillId="0" borderId="0" xfId="0" applyNumberFormat="1" applyFont="1"/>
    <xf numFmtId="10" fontId="0" fillId="0" borderId="0" xfId="0" applyNumberFormat="1"/>
    <xf numFmtId="0" fontId="0" fillId="2" borderId="0" xfId="0" applyFill="1"/>
    <xf numFmtId="0" fontId="0" fillId="4" borderId="0" xfId="0" applyFill="1"/>
    <xf numFmtId="0" fontId="0" fillId="2" borderId="0" xfId="0" quotePrefix="1" applyFill="1"/>
    <xf numFmtId="0" fontId="2" fillId="3" borderId="0" xfId="0" applyFont="1" applyFill="1"/>
    <xf numFmtId="0" fontId="2" fillId="5" borderId="0" xfId="0" applyFont="1" applyFill="1"/>
    <xf numFmtId="0" fontId="2" fillId="4" borderId="0" xfId="0" applyFont="1" applyFill="1"/>
    <xf numFmtId="0" fontId="0" fillId="0" borderId="0" xfId="0" applyNumberFormat="1"/>
  </cellXfs>
  <cellStyles count="1">
    <cellStyle name="Normal" xfId="0" builtinId="0"/>
  </cellStyles>
  <dxfs count="48">
    <dxf>
      <fill>
        <patternFill>
          <bgColor rgb="FFFFDC6D"/>
        </patternFill>
      </fill>
    </dxf>
    <dxf>
      <fill>
        <patternFill>
          <bgColor rgb="FFFFDC6D"/>
        </patternFill>
      </fill>
    </dxf>
    <dxf>
      <font>
        <color auto="1"/>
      </font>
    </dxf>
    <dxf>
      <font>
        <color auto="1"/>
      </font>
    </dxf>
    <dxf>
      <fill>
        <patternFill>
          <bgColor rgb="FFFFDC6D"/>
        </patternFill>
      </fill>
    </dxf>
    <dxf>
      <fill>
        <patternFill>
          <bgColor rgb="FFFFDC6D"/>
        </patternFill>
      </fill>
    </dxf>
    <dxf>
      <font>
        <color auto="1"/>
      </font>
    </dxf>
    <dxf>
      <font>
        <color auto="1"/>
      </font>
    </dxf>
    <dxf>
      <fill>
        <patternFill>
          <bgColor rgb="FFFFDC6D"/>
        </patternFill>
      </fill>
    </dxf>
    <dxf>
      <fill>
        <patternFill>
          <bgColor rgb="FFFFDC6D"/>
        </patternFill>
      </fill>
    </dxf>
    <dxf>
      <font>
        <color auto="1"/>
      </font>
    </dxf>
    <dxf>
      <font>
        <color auto="1"/>
      </font>
    </dxf>
    <dxf>
      <fill>
        <patternFill>
          <bgColor rgb="FFFFDC6D"/>
        </patternFill>
      </fill>
    </dxf>
    <dxf>
      <fill>
        <patternFill>
          <bgColor rgb="FFFFDC6D"/>
        </patternFill>
      </fill>
    </dxf>
    <dxf>
      <font>
        <color auto="1"/>
      </font>
    </dxf>
    <dxf>
      <font>
        <color auto="1"/>
      </font>
    </dxf>
    <dxf>
      <fill>
        <patternFill>
          <bgColor rgb="FFFFDC6D"/>
        </patternFill>
      </fill>
    </dxf>
    <dxf>
      <fill>
        <patternFill>
          <bgColor rgb="FFFFDC6D"/>
        </patternFill>
      </fill>
    </dxf>
    <dxf>
      <font>
        <color auto="1"/>
      </font>
    </dxf>
    <dxf>
      <font>
        <color auto="1"/>
      </font>
    </dxf>
    <dxf>
      <fill>
        <patternFill>
          <bgColor rgb="FFFFDC6D"/>
        </patternFill>
      </fill>
    </dxf>
    <dxf>
      <fill>
        <patternFill>
          <bgColor rgb="FFFFDC6D"/>
        </patternFill>
      </fill>
    </dxf>
    <dxf>
      <font>
        <color auto="1"/>
      </font>
    </dxf>
    <dxf>
      <font>
        <color auto="1"/>
      </font>
    </dxf>
    <dxf>
      <fill>
        <patternFill>
          <bgColor theme="4" tint="0.59999389629810485"/>
        </patternFill>
      </fill>
    </dxf>
    <dxf>
      <fill>
        <patternFill>
          <bgColor theme="4" tint="0.59999389629810485"/>
        </patternFill>
      </fill>
    </dxf>
    <dxf>
      <font>
        <color auto="1"/>
      </font>
    </dxf>
    <dxf>
      <font>
        <color auto="1"/>
      </font>
    </dxf>
    <dxf>
      <fill>
        <patternFill>
          <bgColor rgb="FF009999"/>
        </patternFill>
      </fill>
    </dxf>
    <dxf>
      <fill>
        <patternFill>
          <bgColor rgb="FF009999"/>
        </patternFill>
      </fill>
    </dxf>
    <dxf>
      <font>
        <color auto="1"/>
      </font>
    </dxf>
    <dxf>
      <font>
        <color auto="1"/>
      </font>
    </dxf>
    <dxf>
      <fill>
        <patternFill>
          <bgColor theme="4" tint="0.59999389629810485"/>
        </patternFill>
      </fill>
    </dxf>
    <dxf>
      <fill>
        <patternFill>
          <bgColor theme="4" tint="0.59999389629810485"/>
        </patternFill>
      </fill>
    </dxf>
    <dxf>
      <font>
        <color auto="1"/>
      </font>
    </dxf>
    <dxf>
      <font>
        <color auto="1"/>
      </font>
    </dxf>
    <dxf>
      <fill>
        <patternFill>
          <bgColor rgb="FFFFDC6D"/>
        </patternFill>
      </fill>
    </dxf>
    <dxf>
      <fill>
        <patternFill>
          <bgColor rgb="FFFFDC6D"/>
        </patternFill>
      </fill>
    </dxf>
    <dxf>
      <font>
        <color auto="1"/>
      </font>
    </dxf>
    <dxf>
      <font>
        <color auto="1"/>
      </font>
    </dxf>
    <dxf>
      <fill>
        <patternFill>
          <bgColor rgb="FFFFDC6D"/>
        </patternFill>
      </fill>
    </dxf>
    <dxf>
      <fill>
        <patternFill>
          <bgColor rgb="FFFFDC6D"/>
        </patternFill>
      </fill>
    </dxf>
    <dxf>
      <fill>
        <patternFill>
          <bgColor theme="9" tint="0.59996337778862885"/>
        </patternFill>
      </fill>
    </dxf>
    <dxf>
      <fill>
        <patternFill>
          <bgColor rgb="FFFFC000"/>
        </patternFill>
      </fill>
    </dxf>
    <dxf>
      <fill>
        <patternFill>
          <bgColor rgb="FFFFC000"/>
        </patternFill>
      </fill>
    </dxf>
    <dxf>
      <fill>
        <patternFill>
          <bgColor rgb="FFFFC000"/>
        </patternFill>
      </fill>
    </dxf>
    <dxf>
      <fill>
        <patternFill>
          <bgColor rgb="FF333333"/>
        </patternFill>
      </fill>
    </dxf>
    <dxf>
      <fill>
        <patternFill>
          <bgColor theme="6" tint="0.59996337778862885"/>
        </patternFill>
      </fill>
    </dxf>
  </dxfs>
  <tableStyles count="3" defaultTableStyle="TableStyleMedium2" defaultPivotStyle="PivotStyleLight16">
    <tableStyle name="PivotTable Style 1" table="0" count="1" xr9:uid="{3383605B-23B6-47DC-99C6-A19A22341053}">
      <tableStyleElement type="wholeTable" dxfId="47"/>
    </tableStyle>
    <tableStyle name="PivotTable Style 2" table="0" count="4" xr9:uid="{17DD6F5A-0084-4C60-99D6-64EAF5C5A80E}">
      <tableStyleElement type="headerRow" dxfId="46"/>
      <tableStyleElement type="firstColumnStripe" dxfId="45"/>
      <tableStyleElement type="pageFieldLabels" dxfId="44"/>
      <tableStyleElement type="pageFieldValues" dxfId="43"/>
    </tableStyle>
    <tableStyle name="Slicer Style 1" pivot="0" table="0" count="4" xr9:uid="{E898960F-B898-4E15-8668-613B8260E4C9}">
      <tableStyleElement type="wholeTable" dxfId="42"/>
    </tableStyle>
  </tableStyles>
  <colors>
    <mruColors>
      <color rgb="FF009999"/>
      <color rgb="FF001F3E"/>
      <color rgb="FFFFCC66"/>
      <color rgb="FFFFDC6D"/>
      <color rgb="FFFFD961"/>
      <color rgb="FFFFFF66"/>
      <color rgb="FFFFCC00"/>
      <color rgb="FFFFFFFF"/>
      <color rgb="FF403AAE"/>
      <color rgb="FF66FF66"/>
    </mruColors>
  </colors>
  <extLst>
    <ext xmlns:x14="http://schemas.microsoft.com/office/spreadsheetml/2009/9/main" uri="{46F421CA-312F-682f-3DD2-61675219B42D}">
      <x14:dxfs count="3">
        <dxf>
          <fill>
            <patternFill>
              <bgColor theme="6" tint="0.39994506668294322"/>
            </patternFill>
          </fill>
        </dxf>
        <dxf>
          <fill>
            <patternFill>
              <bgColor theme="4" tint="0.59996337778862885"/>
            </patternFill>
          </fill>
        </dxf>
        <dxf>
          <fill>
            <patternFill patternType="solid">
              <fgColor rgb="FFFFFF66"/>
              <bgColor rgb="FFFFCC66"/>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2"/>
            <x14:slicerStyleElement type="selectedItemWithData" dxfId="1"/>
            <x14:slicerStyleElement type="hoveredUn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[Project_007.xlsm]Dashboard_007!PivotTable2</c:name>
    <c:fmtId val="0"/>
  </c:pivotSource>
  <c:chart>
    <c:autoTitleDeleted val="1"/>
    <c:pivotFmts>
      <c:pivotFmt>
        <c:idx val="0"/>
        <c:spPr>
          <a:solidFill>
            <a:schemeClr val="accent1">
              <a:lumMod val="75000"/>
            </a:schemeClr>
          </a:solidFill>
          <a:ln>
            <a:noFill/>
          </a:ln>
          <a:effectLst/>
        </c:spPr>
        <c:marker>
          <c:symbol val="none"/>
        </c:marker>
        <c:dLbl>
          <c:idx val="0"/>
          <c:spPr>
            <a:solidFill>
              <a:srgbClr val="FFD96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pivotFmt>
    </c:pivotFmts>
    <c:plotArea>
      <c:layout>
        <c:manualLayout>
          <c:layoutTarget val="inner"/>
          <c:xMode val="edge"/>
          <c:yMode val="edge"/>
          <c:x val="0.15701437110355501"/>
          <c:y val="7.7214571390039149E-2"/>
          <c:w val="0.79981601928185908"/>
          <c:h val="0.84557085721992165"/>
        </c:manualLayout>
      </c:layout>
      <c:barChart>
        <c:barDir val="bar"/>
        <c:grouping val="clustered"/>
        <c:varyColors val="0"/>
        <c:ser>
          <c:idx val="0"/>
          <c:order val="0"/>
          <c:tx>
            <c:strRef>
              <c:f>Dashboard_007!$B$3</c:f>
              <c:strCache>
                <c:ptCount val="1"/>
                <c:pt idx="0">
                  <c:v>Total</c:v>
                </c:pt>
              </c:strCache>
            </c:strRef>
          </c:tx>
          <c:spPr>
            <a:solidFill>
              <a:schemeClr val="accent1">
                <a:lumMod val="75000"/>
              </a:schemeClr>
            </a:solidFill>
            <a:ln>
              <a:noFill/>
            </a:ln>
            <a:effectLst/>
          </c:spPr>
          <c:invertIfNegative val="0"/>
          <c:dLbls>
            <c:spPr>
              <a:solidFill>
                <a:srgbClr val="FFD96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Dashboard_007!$A$4:$A$8</c:f>
              <c:strCache>
                <c:ptCount val="5"/>
                <c:pt idx="0">
                  <c:v>Sadia Javed</c:v>
                </c:pt>
                <c:pt idx="1">
                  <c:v>Faisal Ahmed</c:v>
                </c:pt>
                <c:pt idx="2">
                  <c:v>Sana Farooq</c:v>
                </c:pt>
                <c:pt idx="3">
                  <c:v>Ayesha Malik</c:v>
                </c:pt>
                <c:pt idx="4">
                  <c:v>Bilal Shah</c:v>
                </c:pt>
              </c:strCache>
            </c:strRef>
          </c:cat>
          <c:val>
            <c:numRef>
              <c:f>Dashboard_007!$B$4:$B$8</c:f>
              <c:numCache>
                <c:formatCode>General</c:formatCode>
                <c:ptCount val="5"/>
                <c:pt idx="0">
                  <c:v>495</c:v>
                </c:pt>
                <c:pt idx="1">
                  <c:v>482</c:v>
                </c:pt>
                <c:pt idx="2">
                  <c:v>458</c:v>
                </c:pt>
                <c:pt idx="3">
                  <c:v>454</c:v>
                </c:pt>
                <c:pt idx="4">
                  <c:v>451</c:v>
                </c:pt>
              </c:numCache>
            </c:numRef>
          </c:val>
          <c:extLst>
            <c:ext xmlns:c16="http://schemas.microsoft.com/office/drawing/2014/chart" uri="{C3380CC4-5D6E-409C-BE32-E72D297353CC}">
              <c16:uniqueId val="{00000000-E8E4-44B3-9A43-54E7A1A1F1D3}"/>
            </c:ext>
          </c:extLst>
        </c:ser>
        <c:dLbls>
          <c:showLegendKey val="0"/>
          <c:showVal val="0"/>
          <c:showCatName val="0"/>
          <c:showSerName val="0"/>
          <c:showPercent val="0"/>
          <c:showBubbleSize val="0"/>
        </c:dLbls>
        <c:gapWidth val="182"/>
        <c:axId val="855072927"/>
        <c:axId val="855074847"/>
      </c:barChart>
      <c:catAx>
        <c:axId val="85507292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074847"/>
        <c:crosses val="autoZero"/>
        <c:auto val="1"/>
        <c:lblAlgn val="ctr"/>
        <c:lblOffset val="100"/>
        <c:noMultiLvlLbl val="0"/>
      </c:catAx>
      <c:valAx>
        <c:axId val="855074847"/>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855072927"/>
        <c:crosses val="autoZero"/>
        <c:crossBetween val="between"/>
      </c:valAx>
      <c:spPr>
        <a:solidFill>
          <a:schemeClr val="accent6">
            <a:lumMod val="40000"/>
            <a:lumOff val="60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[Project_007.xlsm]Dashboard_007!PivotTable4</c:name>
    <c:fmtId val="0"/>
  </c:pivotSource>
  <c:chart>
    <c:autoTitleDeleted val="1"/>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pieChart>
        <c:varyColors val="1"/>
        <c:ser>
          <c:idx val="0"/>
          <c:order val="0"/>
          <c:tx>
            <c:strRef>
              <c:f>Dashboard_007!$H$3</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5E78-4A97-AD81-FF76E08DEDC2}"/>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5E78-4A97-AD81-FF76E08DEDC2}"/>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5E78-4A97-AD81-FF76E08DEDC2}"/>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5E78-4A97-AD81-FF76E08DEDC2}"/>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5E78-4A97-AD81-FF76E08DEDC2}"/>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Dashboard_007!$G$4:$G$8</c:f>
              <c:strCache>
                <c:ptCount val="5"/>
                <c:pt idx="0">
                  <c:v>Ayesha Malik</c:v>
                </c:pt>
                <c:pt idx="1">
                  <c:v>Bilal Shah</c:v>
                </c:pt>
                <c:pt idx="2">
                  <c:v>Faisal Ahmed</c:v>
                </c:pt>
                <c:pt idx="3">
                  <c:v>Sadia Javed</c:v>
                </c:pt>
                <c:pt idx="4">
                  <c:v>Sana Farooq</c:v>
                </c:pt>
              </c:strCache>
            </c:strRef>
          </c:cat>
          <c:val>
            <c:numRef>
              <c:f>Dashboard_007!$H$4:$H$8</c:f>
              <c:numCache>
                <c:formatCode>0.00%</c:formatCode>
                <c:ptCount val="5"/>
                <c:pt idx="0">
                  <c:v>0.90799999999999992</c:v>
                </c:pt>
                <c:pt idx="1">
                  <c:v>0.90200000000000002</c:v>
                </c:pt>
                <c:pt idx="2">
                  <c:v>0.96399999999999997</c:v>
                </c:pt>
                <c:pt idx="3">
                  <c:v>0.99</c:v>
                </c:pt>
                <c:pt idx="4">
                  <c:v>0.91599999999999993</c:v>
                </c:pt>
              </c:numCache>
            </c:numRef>
          </c:val>
          <c:extLst>
            <c:ext xmlns:c16="http://schemas.microsoft.com/office/drawing/2014/chart" uri="{C3380CC4-5D6E-409C-BE32-E72D297353CC}">
              <c16:uniqueId val="{00000000-2C5B-4AD2-B043-0EF4B15DDD17}"/>
            </c:ext>
          </c:extLst>
        </c:ser>
        <c:dLbls>
          <c:dLblPos val="inEnd"/>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[Project_007.xlsm]Dashboard_007!PivotTable5</c:name>
    <c:fmtId val="13"/>
  </c:pivotSource>
  <c:chart>
    <c:autoTitleDeleted val="1"/>
    <c:pivotFmts>
      <c:pivotFmt>
        <c:idx val="0"/>
        <c:spPr>
          <a:ln w="28575" cap="rnd">
            <a:solidFill>
              <a:schemeClr val="accent1"/>
            </a:solidFill>
            <a:round/>
          </a:ln>
          <a:effectLst/>
        </c:spPr>
        <c:marker>
          <c:symbol val="none"/>
        </c:marker>
        <c:dLbl>
          <c:idx val="0"/>
          <c:spPr>
            <a:solidFill>
              <a:srgbClr val="FFCC66"/>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1857929767201575E-2"/>
          <c:y val="0.25756944444444446"/>
          <c:w val="0.94899816387652958"/>
          <c:h val="0.5818870297462817"/>
        </c:manualLayout>
      </c:layout>
      <c:lineChart>
        <c:grouping val="standard"/>
        <c:varyColors val="0"/>
        <c:ser>
          <c:idx val="0"/>
          <c:order val="0"/>
          <c:tx>
            <c:strRef>
              <c:f>Dashboard_007!$K$3</c:f>
              <c:strCache>
                <c:ptCount val="1"/>
                <c:pt idx="0">
                  <c:v>Total</c:v>
                </c:pt>
              </c:strCache>
            </c:strRef>
          </c:tx>
          <c:spPr>
            <a:ln w="28575" cap="rnd">
              <a:solidFill>
                <a:schemeClr val="accent1"/>
              </a:solidFill>
              <a:round/>
            </a:ln>
            <a:effectLst/>
          </c:spPr>
          <c:marker>
            <c:symbol val="none"/>
          </c:marker>
          <c:dLbls>
            <c:spPr>
              <a:solidFill>
                <a:srgbClr val="FFCC66"/>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Dashboard_007!$J$4:$J$8</c:f>
              <c:strCache>
                <c:ptCount val="5"/>
                <c:pt idx="0">
                  <c:v>Adeel Khalid</c:v>
                </c:pt>
                <c:pt idx="1">
                  <c:v>Nadeem Malik</c:v>
                </c:pt>
                <c:pt idx="2">
                  <c:v>Rabia Khan</c:v>
                </c:pt>
                <c:pt idx="3">
                  <c:v>Rameez Shah</c:v>
                </c:pt>
                <c:pt idx="4">
                  <c:v>Shahid Qureshi</c:v>
                </c:pt>
              </c:strCache>
            </c:strRef>
          </c:cat>
          <c:val>
            <c:numRef>
              <c:f>Dashboard_007!$K$4:$K$8</c:f>
              <c:numCache>
                <c:formatCode>0.00%</c:formatCode>
                <c:ptCount val="5"/>
                <c:pt idx="0">
                  <c:v>0.41</c:v>
                </c:pt>
                <c:pt idx="1">
                  <c:v>0.434</c:v>
                </c:pt>
                <c:pt idx="2">
                  <c:v>0.248</c:v>
                </c:pt>
                <c:pt idx="3">
                  <c:v>0.378</c:v>
                </c:pt>
                <c:pt idx="4">
                  <c:v>0.43</c:v>
                </c:pt>
              </c:numCache>
            </c:numRef>
          </c:val>
          <c:smooth val="0"/>
          <c:extLst>
            <c:ext xmlns:c16="http://schemas.microsoft.com/office/drawing/2014/chart" uri="{C3380CC4-5D6E-409C-BE32-E72D297353CC}">
              <c16:uniqueId val="{00000000-7F79-4FEB-A06E-D3AEBEE44F41}"/>
            </c:ext>
          </c:extLst>
        </c:ser>
        <c:dLbls>
          <c:showLegendKey val="0"/>
          <c:showVal val="0"/>
          <c:showCatName val="0"/>
          <c:showSerName val="0"/>
          <c:showPercent val="0"/>
          <c:showBubbleSize val="0"/>
        </c:dLbls>
        <c:smooth val="0"/>
        <c:axId val="923377023"/>
        <c:axId val="923374623"/>
      </c:lineChart>
      <c:catAx>
        <c:axId val="9233770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3374623"/>
        <c:crosses val="autoZero"/>
        <c:auto val="1"/>
        <c:lblAlgn val="ctr"/>
        <c:lblOffset val="100"/>
        <c:noMultiLvlLbl val="0"/>
      </c:catAx>
      <c:valAx>
        <c:axId val="923374623"/>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923377023"/>
        <c:crosses val="autoZero"/>
        <c:crossBetween val="between"/>
      </c:valAx>
      <c:spPr>
        <a:solidFill>
          <a:schemeClr val="accent6">
            <a:lumMod val="40000"/>
            <a:lumOff val="60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6">
  <a:schemeClr val="accent3"/>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checked="Checked" fmlaLink="$J$1" lockText="1" noThreeD="1"/>
</file>

<file path=xl/ctrlProps/ctrlProp3.xml><?xml version="1.0" encoding="utf-8"?>
<formControlPr xmlns="http://schemas.microsoft.com/office/spreadsheetml/2009/9/main" objectType="CheckBox" fmlaLink="$D$1" lockText="1" noThreeD="1"/>
</file>

<file path=xl/ctrlProps/ctrlProp4.xml><?xml version="1.0" encoding="utf-8"?>
<formControlPr xmlns="http://schemas.microsoft.com/office/spreadsheetml/2009/9/main" objectType="CheckBox" fmlaLink="$G$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57150</xdr:rowOff>
    </xdr:from>
    <xdr:to>
      <xdr:col>5</xdr:col>
      <xdr:colOff>19050</xdr:colOff>
      <xdr:row>17</xdr:row>
      <xdr:rowOff>154215</xdr:rowOff>
    </xdr:to>
    <xdr:graphicFrame macro="">
      <xdr:nvGraphicFramePr>
        <xdr:cNvPr id="2" name="Chart 1">
          <a:extLst>
            <a:ext uri="{FF2B5EF4-FFF2-40B4-BE49-F238E27FC236}">
              <a16:creationId xmlns:a16="http://schemas.microsoft.com/office/drawing/2014/main" id="{B0CDE075-2C6B-BF9B-6054-8102E4D7D7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289891</xdr:colOff>
      <xdr:row>8</xdr:row>
      <xdr:rowOff>66675</xdr:rowOff>
    </xdr:from>
    <xdr:to>
      <xdr:col>7</xdr:col>
      <xdr:colOff>1057275</xdr:colOff>
      <xdr:row>17</xdr:row>
      <xdr:rowOff>149087</xdr:rowOff>
    </xdr:to>
    <xdr:graphicFrame macro="">
      <xdr:nvGraphicFramePr>
        <xdr:cNvPr id="3" name="Chart 2">
          <a:extLst>
            <a:ext uri="{FF2B5EF4-FFF2-40B4-BE49-F238E27FC236}">
              <a16:creationId xmlns:a16="http://schemas.microsoft.com/office/drawing/2014/main" id="{3EE9911C-5F87-195A-F23E-2AD372DCBB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0</xdr:colOff>
      <xdr:row>0</xdr:row>
      <xdr:rowOff>28575</xdr:rowOff>
    </xdr:from>
    <xdr:to>
      <xdr:col>11</xdr:col>
      <xdr:colOff>0</xdr:colOff>
      <xdr:row>1</xdr:row>
      <xdr:rowOff>114300</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C7C57E79-74F3-F787-D2D4-EB57FA1AEA52}"/>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8575"/>
              <a:ext cx="11153775" cy="4572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304800</xdr:colOff>
      <xdr:row>8</xdr:row>
      <xdr:rowOff>76199</xdr:rowOff>
    </xdr:from>
    <xdr:to>
      <xdr:col>12</xdr:col>
      <xdr:colOff>9525</xdr:colOff>
      <xdr:row>17</xdr:row>
      <xdr:rowOff>180974</xdr:rowOff>
    </xdr:to>
    <xdr:graphicFrame macro="">
      <xdr:nvGraphicFramePr>
        <xdr:cNvPr id="7" name="Chart 6">
          <a:extLst>
            <a:ext uri="{FF2B5EF4-FFF2-40B4-BE49-F238E27FC236}">
              <a16:creationId xmlns:a16="http://schemas.microsoft.com/office/drawing/2014/main" id="{4AAAF520-2EBE-C4E4-250F-12BE706BDE5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219075</xdr:colOff>
      <xdr:row>1</xdr:row>
      <xdr:rowOff>180975</xdr:rowOff>
    </xdr:from>
    <xdr:to>
      <xdr:col>0</xdr:col>
      <xdr:colOff>1228725</xdr:colOff>
      <xdr:row>1</xdr:row>
      <xdr:rowOff>457200</xdr:rowOff>
    </xdr:to>
    <xdr:sp macro="" textlink="">
      <xdr:nvSpPr>
        <xdr:cNvPr id="4" name="Speech Bubble: Rectangle with Corners Rounded 3">
          <a:extLst>
            <a:ext uri="{FF2B5EF4-FFF2-40B4-BE49-F238E27FC236}">
              <a16:creationId xmlns:a16="http://schemas.microsoft.com/office/drawing/2014/main" id="{5E4E70BD-6D95-8402-9A07-5D17A61A9F53}"/>
            </a:ext>
          </a:extLst>
        </xdr:cNvPr>
        <xdr:cNvSpPr/>
      </xdr:nvSpPr>
      <xdr:spPr>
        <a:xfrm>
          <a:off x="219075" y="371475"/>
          <a:ext cx="1009650" cy="276225"/>
        </a:xfrm>
        <a:prstGeom prst="wedgeRoundRectCallout">
          <a:avLst>
            <a:gd name="adj1" fmla="val -20833"/>
            <a:gd name="adj2" fmla="val 83190"/>
            <a:gd name="adj3" fmla="val 16667"/>
          </a:avLst>
        </a:prstGeom>
        <a:solidFill>
          <a:schemeClr val="accent6">
            <a:lumMod val="40000"/>
            <a:lumOff val="60000"/>
          </a:schemeClr>
        </a:solidFill>
        <a:ln w="28575">
          <a:solidFill>
            <a:schemeClr val="accent3">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238125</xdr:colOff>
          <xdr:row>1</xdr:row>
          <xdr:rowOff>219075</xdr:rowOff>
        </xdr:from>
        <xdr:to>
          <xdr:col>0</xdr:col>
          <xdr:colOff>1143000</xdr:colOff>
          <xdr:row>1</xdr:row>
          <xdr:rowOff>438150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Dashboard_1</a:t>
              </a:r>
            </a:p>
          </xdr:txBody>
        </xdr:sp>
        <xdr:clientData/>
      </xdr:twoCellAnchor>
    </mc:Choice>
    <mc:Fallback/>
  </mc:AlternateContent>
  <xdr:twoCellAnchor>
    <xdr:from>
      <xdr:col>9</xdr:col>
      <xdr:colOff>276225</xdr:colOff>
      <xdr:row>1</xdr:row>
      <xdr:rowOff>180975</xdr:rowOff>
    </xdr:from>
    <xdr:to>
      <xdr:col>10</xdr:col>
      <xdr:colOff>47625</xdr:colOff>
      <xdr:row>1</xdr:row>
      <xdr:rowOff>457200</xdr:rowOff>
    </xdr:to>
    <xdr:sp macro="" textlink="">
      <xdr:nvSpPr>
        <xdr:cNvPr id="9" name="Speech Bubble: Rectangle with Corners Rounded 8">
          <a:extLst>
            <a:ext uri="{FF2B5EF4-FFF2-40B4-BE49-F238E27FC236}">
              <a16:creationId xmlns:a16="http://schemas.microsoft.com/office/drawing/2014/main" id="{3F1D1379-5F2F-D6EB-432C-4B501B7CA535}"/>
            </a:ext>
          </a:extLst>
        </xdr:cNvPr>
        <xdr:cNvSpPr/>
      </xdr:nvSpPr>
      <xdr:spPr>
        <a:xfrm>
          <a:off x="7972425" y="371475"/>
          <a:ext cx="1009650" cy="276225"/>
        </a:xfrm>
        <a:prstGeom prst="wedgeRoundRectCallout">
          <a:avLst>
            <a:gd name="adj1" fmla="val -20833"/>
            <a:gd name="adj2" fmla="val 83190"/>
            <a:gd name="adj3" fmla="val 16667"/>
          </a:avLst>
        </a:prstGeom>
        <a:solidFill>
          <a:schemeClr val="accent6">
            <a:lumMod val="40000"/>
            <a:lumOff val="60000"/>
          </a:schemeClr>
        </a:solidFill>
        <a:ln w="28575">
          <a:solidFill>
            <a:schemeClr val="accent3">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314325</xdr:colOff>
          <xdr:row>1</xdr:row>
          <xdr:rowOff>209550</xdr:rowOff>
        </xdr:from>
        <xdr:to>
          <xdr:col>9</xdr:col>
          <xdr:colOff>1219200</xdr:colOff>
          <xdr:row>1</xdr:row>
          <xdr:rowOff>428625</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Dashboard_4</a:t>
              </a:r>
            </a:p>
          </xdr:txBody>
        </xdr:sp>
        <xdr:clientData/>
      </xdr:twoCellAnchor>
    </mc:Choice>
    <mc:Fallback/>
  </mc:AlternateContent>
  <xdr:twoCellAnchor>
    <xdr:from>
      <xdr:col>3</xdr:col>
      <xdr:colOff>285750</xdr:colOff>
      <xdr:row>1</xdr:row>
      <xdr:rowOff>171450</xdr:rowOff>
    </xdr:from>
    <xdr:to>
      <xdr:col>4</xdr:col>
      <xdr:colOff>47625</xdr:colOff>
      <xdr:row>1</xdr:row>
      <xdr:rowOff>447675</xdr:rowOff>
    </xdr:to>
    <xdr:sp macro="" textlink="">
      <xdr:nvSpPr>
        <xdr:cNvPr id="10" name="Speech Bubble: Rectangle with Corners Rounded 9">
          <a:extLst>
            <a:ext uri="{FF2B5EF4-FFF2-40B4-BE49-F238E27FC236}">
              <a16:creationId xmlns:a16="http://schemas.microsoft.com/office/drawing/2014/main" id="{C4A2C162-B48B-FC10-1228-E12BEACFCBFA}"/>
            </a:ext>
          </a:extLst>
        </xdr:cNvPr>
        <xdr:cNvSpPr/>
      </xdr:nvSpPr>
      <xdr:spPr>
        <a:xfrm>
          <a:off x="2667000" y="361950"/>
          <a:ext cx="1009650" cy="276225"/>
        </a:xfrm>
        <a:prstGeom prst="wedgeRoundRectCallout">
          <a:avLst>
            <a:gd name="adj1" fmla="val -20833"/>
            <a:gd name="adj2" fmla="val 83190"/>
            <a:gd name="adj3" fmla="val 16667"/>
          </a:avLst>
        </a:prstGeom>
        <a:solidFill>
          <a:schemeClr val="accent6">
            <a:lumMod val="40000"/>
            <a:lumOff val="60000"/>
          </a:schemeClr>
        </a:solidFill>
        <a:ln w="28575">
          <a:solidFill>
            <a:schemeClr val="accent3">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323850</xdr:colOff>
          <xdr:row>1</xdr:row>
          <xdr:rowOff>180975</xdr:rowOff>
        </xdr:from>
        <xdr:to>
          <xdr:col>4</xdr:col>
          <xdr:colOff>19050</xdr:colOff>
          <xdr:row>1</xdr:row>
          <xdr:rowOff>400050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Dashboard_2</a:t>
              </a:r>
            </a:p>
          </xdr:txBody>
        </xdr:sp>
        <xdr:clientData/>
      </xdr:twoCellAnchor>
    </mc:Choice>
    <mc:Fallback/>
  </mc:AlternateContent>
  <xdr:twoCellAnchor>
    <xdr:from>
      <xdr:col>6</xdr:col>
      <xdr:colOff>209550</xdr:colOff>
      <xdr:row>1</xdr:row>
      <xdr:rowOff>171450</xdr:rowOff>
    </xdr:from>
    <xdr:to>
      <xdr:col>6</xdr:col>
      <xdr:colOff>1219200</xdr:colOff>
      <xdr:row>1</xdr:row>
      <xdr:rowOff>447675</xdr:rowOff>
    </xdr:to>
    <xdr:sp macro="" textlink="">
      <xdr:nvSpPr>
        <xdr:cNvPr id="11" name="Speech Bubble: Rectangle with Corners Rounded 10">
          <a:extLst>
            <a:ext uri="{FF2B5EF4-FFF2-40B4-BE49-F238E27FC236}">
              <a16:creationId xmlns:a16="http://schemas.microsoft.com/office/drawing/2014/main" id="{F03BEE7B-962D-9528-672B-09084ED778E1}"/>
            </a:ext>
          </a:extLst>
        </xdr:cNvPr>
        <xdr:cNvSpPr/>
      </xdr:nvSpPr>
      <xdr:spPr>
        <a:xfrm>
          <a:off x="5276850" y="361950"/>
          <a:ext cx="1009650" cy="276225"/>
        </a:xfrm>
        <a:prstGeom prst="wedgeRoundRectCallout">
          <a:avLst>
            <a:gd name="adj1" fmla="val -20833"/>
            <a:gd name="adj2" fmla="val 83190"/>
            <a:gd name="adj3" fmla="val 16667"/>
          </a:avLst>
        </a:prstGeom>
        <a:solidFill>
          <a:schemeClr val="accent6">
            <a:lumMod val="40000"/>
            <a:lumOff val="60000"/>
          </a:schemeClr>
        </a:solidFill>
        <a:ln w="28575">
          <a:solidFill>
            <a:schemeClr val="accent3">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238125</xdr:colOff>
          <xdr:row>1</xdr:row>
          <xdr:rowOff>200025</xdr:rowOff>
        </xdr:from>
        <xdr:to>
          <xdr:col>6</xdr:col>
          <xdr:colOff>1181100</xdr:colOff>
          <xdr:row>1</xdr:row>
          <xdr:rowOff>419100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Dashboard_3</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HMER" refreshedDate="45800.654821990742" createdVersion="8" refreshedVersion="8" minRefreshableVersion="3" recordCount="141" xr:uid="{D22BDC86-3E5A-4537-8AEE-5F1FFE8C4D6D}">
  <cacheSource type="worksheet">
    <worksheetSource ref="A1:L142" sheet="Sheet1"/>
  </cacheSource>
  <cacheFields count="12">
    <cacheField name="Emp Code" numFmtId="0">
      <sharedItems/>
    </cacheField>
    <cacheField name="Sales Executive" numFmtId="0">
      <sharedItems count="275">
        <s v="Ahmed Khan"/>
        <s v="Ayesha Malik"/>
        <s v="Omar Siddiqui"/>
        <s v="Fatima Ali"/>
        <s v="Hassan Sheikh"/>
        <s v="Zainab Qureshi"/>
        <s v="Imran Hussain"/>
        <s v="Noor Javed"/>
        <s v="Bilal Shah"/>
        <s v="Sana Farooq"/>
        <s v="Yusuf Raza"/>
        <s v="Amira Khan"/>
        <s v="Salman Aziz"/>
        <s v="Amina Begum"/>
        <s v="Tariq Mahmood"/>
        <s v="Rabia Siddiq"/>
        <s v="Kareem Abbas"/>
        <s v="Sadia Khan"/>
        <s v="Javed Iqbal"/>
        <s v="Maryam Syed"/>
        <s v="Farhan Zafar"/>
        <s v="Zoya Mirza"/>
        <s v="Rashid Anwar"/>
        <s v="Laila Hassan"/>
        <s v="Nadeem Saeed"/>
        <s v="Sumaira Tariq"/>
        <s v="Adil Riaz"/>
        <s v="Hina Shahid"/>
        <s v="Saif Ullah"/>
        <s v="Sadia Noor"/>
        <s v="Faisal Ahmed"/>
        <s v="Rabia Khan"/>
        <s v="Noman Farooq"/>
        <s v="Hafsa Tariq"/>
        <s v="Imtiaz Ali"/>
        <s v="Amina Jamil"/>
        <s v="Raza Ahmed"/>
        <s v="Sidra Shah"/>
        <s v="Asif Malik"/>
        <s v="Aaliyah Qureshi"/>
        <s v="Shahid Raza"/>
        <s v="Huma Khalid"/>
        <s v="Zubair Khan"/>
        <s v="Saba Yousuf"/>
        <s v="Waleed Hassan"/>
        <s v="Rania Tariq"/>
        <s v="Nabeel Khan"/>
        <s v="Farah Ahmed"/>
        <s v="Adeel Malik"/>
        <s v="Sahar Noor"/>
        <s v="Aziz Ahmed"/>
        <s v="Sanaullah Malik"/>
        <s v="Aisha Tariq"/>
        <s v="Rameez Shah"/>
        <s v="Rida Farooq"/>
        <s v="Mahmood Ali"/>
        <s v="Sadia Bashir"/>
        <s v="Zeeshan Malik"/>
        <s v="Maryam Khalid"/>
        <s v="Nawaz Ahmed"/>
        <s v="Saba Riaz"/>
        <s v="Haris Khan"/>
        <s v="Shazia Malik"/>
        <s v="Fahad Hussain"/>
        <s v="Rabia Nisar"/>
        <s v="Bilal Qureshi"/>
        <s v="Sadia Raza"/>
        <s v="Khalid Anwar"/>
        <s v="Noor Jahan"/>
        <s v="Rizwan Ahmed"/>
        <s v="Amina Farooq"/>
        <s v="Tahir Malik"/>
        <s v="Sana Shah"/>
        <s v="Owais Hassan"/>
        <s v="Farzana Khalid"/>
        <s v="Junaid Malik"/>
        <s v="Rania Saeed"/>
        <s v="Aamir Khan"/>
        <s v="Shumaila Tariq"/>
        <s v="Arshad Ali"/>
        <s v="Hina Ahmed"/>
        <s v="Adnan Malik"/>
        <s v="Nida Riaz"/>
        <s v="Fawad Hussain"/>
        <s v="Sadia Anwar"/>
        <s v="Shahid Qureshi"/>
        <s v="Saira Malik"/>
        <s v="Zain Hussain"/>
        <s v="Rabia Noor"/>
        <s v="Faisal Khan"/>
        <s v="Sadia Javed"/>
        <s v="Usman Raza"/>
        <s v="Adeel Khalid"/>
        <s v="Nida Malik"/>
        <s v="Saad Ahmed"/>
        <s v="Huma Qureshi"/>
        <s v="Tariq Malik"/>
        <s v="Hira Khan"/>
        <s v="Javed Riaz"/>
        <s v="Amna Farooq"/>
        <s v="Zubair Malik"/>
        <s v="Khadija Ali"/>
        <s v="Omar Khan"/>
        <s v="Sadia Ahmed"/>
        <s v="Farhan Malik"/>
        <s v="Maryam Hassan"/>
        <s v="Naveed Qureshi"/>
        <s v="Sana Riaz"/>
        <s v="Adil Khan"/>
        <s v="Zainab Hussain"/>
        <s v="Hassan Raza"/>
        <s v="Noor Ahmed"/>
        <s v="Fahad Malik"/>
        <s v="Junaid Hussain"/>
        <s v="Saba Malik"/>
        <s v="Tariq Raza"/>
        <s v="Amina Shah"/>
        <s v="Shahid Malik"/>
        <s v="Sana Ahmed"/>
        <s v="Bilal Riaz"/>
        <s v="Sadia Hussain"/>
        <s v="Rizwan Khan"/>
        <s v="Hina Malik"/>
        <s v="Ayesha Khan"/>
        <s v="Omar Malik"/>
        <s v="Sadia Qureshi"/>
        <s v="Rania Hussain"/>
        <s v="Nadeem Malik"/>
        <s v="Maryam Riaz"/>
        <s v="Adeel Hussain"/>
        <s v="Usman Malik"/>
        <s v="Sana Hussain"/>
        <s v="Tariq Ahmed"/>
        <s v="Sadia Riaz"/>
        <s v="Raj Verma" u="1"/>
        <s v="Tanuja Kale" u="1"/>
        <s v="Arvind Sharma" u="1"/>
        <s v="Tahira Qureshi" u="1"/>
        <s v="Anuj Sharma" u="1"/>
        <s v="Syed Sohail" u="1"/>
        <s v="Syed Saqib" u="1"/>
        <s v="Syed Naved" u="1"/>
        <s v="Swarnlata Borse" u="1"/>
        <s v="Sushma Khandelwal" u="1"/>
        <s v="Surendranath Thakur" u="1"/>
        <s v="Surendra Kumar" u="1"/>
        <s v="Sunita Madnani" u="1"/>
        <s v="Sunita Chawla" u="1"/>
        <s v="Sunil Kumar" u="1"/>
        <s v="Sudhir Kumar" u="1"/>
        <s v="Sudama Kumar" u="1"/>
        <s v="Sonaram Munda" u="1"/>
        <s v="Sneh Khan" u="1"/>
        <s v="Shyamal Malakar" u="1"/>
        <s v="Shubhanjali Joshi" u="1"/>
        <s v="Shivji Prasad" u="1"/>
        <s v="Shephali Jain" u="1"/>
        <s v="Sheena Joseph" u="1"/>
        <s v="Sheeba Joseph" u="1"/>
        <s v="Shashikant Tiwari" u="1"/>
        <s v="Shankar Attendant" u="1"/>
        <s v="Shailendra Barge" u="1"/>
        <s v="Shailaja Kamal" u="1"/>
        <s v="Saroj Parita" u="1"/>
        <s v="Sapna Sharma" u="1"/>
        <s v="Santosh Kumar" u="1"/>
        <s v="Sanju Ramdas" u="1"/>
        <s v="Sanjiv Subherwal" u="1"/>
        <s v="Sanjay Hire" u="1"/>
        <s v="Salim" u="1"/>
        <s v="Sajid Naqvi" u="1"/>
        <s v="Roohi Haider" u="1"/>
        <s v="Roma Rastogi" u="1"/>
        <s v="Roli Bhatnagar" u="1"/>
        <s v="Rohit Nishchal" u="1"/>
        <s v="Ritu Bhatnagar" u="1"/>
        <s v="Renu Pratap" u="1"/>
        <s v="Rekha Jain " u="1"/>
        <s v="Rekha Gupta" u="1"/>
        <s v="Rekha Agarwal" u="1"/>
        <s v="Ravinder Kaur" u="1"/>
        <s v="Ravi Kumar" u="1"/>
        <s v="Rashmi Gajbe" u="1"/>
        <s v="Rashid" u="1"/>
        <s v="Ramji Prasad" u="1"/>
        <s v="Rakhi Jodhani" u="1"/>
        <s v="Rajshree Dhabekar" u="1"/>
        <s v="Raji Abraham" u="1"/>
        <s v="Rajesh Sharma" u="1"/>
        <s v="Rajesh Kumar" u="1"/>
        <s v="Rajendra Prasad" u="1"/>
        <s v="Rajendra Kumar" u="1"/>
        <s v="Rajendra Gupta" u="1"/>
        <s v="Rajeev Kumar" u="1"/>
        <s v="Rajeev Garg" u="1"/>
        <s v="Raj Kumar" u="1"/>
        <s v="Rachna Chauhan" u="1"/>
        <s v="Rachita Anupam" u="1"/>
        <s v="Rachel Mathew" u="1"/>
        <s v="Praveen Kumar" u="1"/>
        <s v="Prasannakumari S" u="1"/>
        <s v="Pramod Tiwari" u="1"/>
        <s v="Prabha Desikan" u="1"/>
        <s v="Partha Sarathi" u="1"/>
        <s v="Pankaj Shelkey" u="1"/>
        <s v="Owais Mohd" u="1"/>
        <s v="Omprakash O" u="1"/>
        <s v="Om Prakash" u="1"/>
        <s v="Nitin Bhatia" u="1"/>
        <s v="Nikita Panwalkar" u="1"/>
        <s v="Neeru Mehta" u="1"/>
        <s v="Neeraj Saxena" u="1"/>
        <s v="Narayan Singh" u="1"/>
        <s v="Nandu Kumar" u="1"/>
        <s v="Mukesh Nagar" u="1"/>
        <s v="Mubeen Khan" u="1"/>
        <s v="Mohd Rafi" u="1"/>
        <s v="Miny Mole" u="1"/>
        <s v="Mercy Thampi" u="1"/>
        <s v="Mehnaz Khan" u="1"/>
        <s v="Meena Zinjare" u="1"/>
        <s v="Masroor Adil" u="1"/>
        <s v="Manoj Kumar" u="1"/>
        <s v="ManjuTiwari Lab" u="1"/>
        <s v="Manjusha Sinha" u="1"/>
        <s v="Manisha Shrivastava" u="1"/>
        <s v="Mangal Singh" u="1"/>
        <s v="Lilly Lucy" u="1"/>
        <s v="Leena George" u="1"/>
        <s v="Kunj Bihari" u="1"/>
        <s v="Krishana Kumar" u="1"/>
        <s v="Kisun Sah" u="1"/>
        <s v="Kiran Khubchandani" u="1"/>
        <s v="Kavita Sharma" u="1"/>
        <s v="Kamini Tiwari" u="1"/>
        <s v="Kamini Kumar" u="1"/>
        <s v="Kalpana Agrawal" u="1"/>
        <s v="Kailash Nath" u="1"/>
        <s v="Kahkasha Parveen" u="1"/>
        <s v="Jyoti Tulsani" u="1"/>
        <s v="Julie S" u="1"/>
        <s v="John D'Costa" u="1"/>
        <s v="Jitendra Kumar" u="1"/>
        <s v="Janardan Mishra" u="1"/>
        <s v="Jairaj Vatham" u="1"/>
        <s v="Jagdish Chandra" u="1"/>
        <s v="Indra Singh" u="1"/>
        <s v="Indra Pal" u="1"/>
        <s v="Heeramani Choudhary" u="1"/>
        <s v="Hari Kumar" u="1"/>
        <s v="Dinesh Kumar" u="1"/>
        <s v="Deepika Nigam" u="1"/>
        <s v="Deepak Kumar" u="1"/>
        <s v="Daleep Singh" u="1"/>
        <s v="Bindu Nair" u="1"/>
        <s v="Bhagwat Singh" u="1"/>
        <s v="Azam" u="1"/>
        <s v="Atul Kumar" u="1"/>
        <s v="Ashok Mahto" u="1"/>
        <s v="Ashok Kumar" u="1"/>
        <s v="Ashish Kumar" u="1"/>
        <s v="Arun Kumar" u="1"/>
        <s v="Anubhuti Gupta" u="1"/>
        <s v="Anoop Raj" u="1"/>
        <s v="Anoop Narayan" u="1"/>
        <s v="Annu Latika" u="1"/>
        <s v="Anjali Sahay" u="1"/>
        <s v="Anjali Deoram" u="1"/>
        <s v="Anita Ghore" u="1"/>
        <s v="Anita Dixit" u="1"/>
        <s v="Anil Kumar" u="1"/>
        <s v="Anikuttan" u="1"/>
        <s v="Anamika Gupta" u="1"/>
        <s v="Afzal Husain" u="1"/>
        <s v="Abdul Hamid" u="1"/>
      </sharedItems>
    </cacheField>
    <cacheField name="Region" numFmtId="0">
      <sharedItems count="8">
        <s v="Karachi"/>
        <s v="Lahore"/>
        <s v="Islamabad"/>
        <s v="Faisalabad"/>
        <s v="Rawalpindi"/>
        <s v="Multan"/>
        <s v="Quetta"/>
        <s v="Peshawar"/>
      </sharedItems>
    </cacheField>
    <cacheField name="Day1" numFmtId="0">
      <sharedItems containsSemiMixedTypes="0" containsString="0" containsNumber="1" containsInteger="1" minValue="0" maxValue="99"/>
    </cacheField>
    <cacheField name="Day2" numFmtId="0">
      <sharedItems containsSemiMixedTypes="0" containsString="0" containsNumber="1" containsInteger="1" minValue="2" maxValue="99"/>
    </cacheField>
    <cacheField name="Day3" numFmtId="0">
      <sharedItems containsSemiMixedTypes="0" containsString="0" containsNumber="1" containsInteger="1" minValue="2" maxValue="99"/>
    </cacheField>
    <cacheField name="Day4" numFmtId="0">
      <sharedItems containsSemiMixedTypes="0" containsString="0" containsNumber="1" containsInteger="1" minValue="2" maxValue="99"/>
    </cacheField>
    <cacheField name="Day5" numFmtId="0">
      <sharedItems containsSemiMixedTypes="0" containsString="0" containsNumber="1" containsInteger="1" minValue="3" maxValue="99"/>
    </cacheField>
    <cacheField name="Total Sales" numFmtId="0">
      <sharedItems containsSemiMixedTypes="0" containsString="0" containsNumber="1" containsInteger="1" minValue="9" maxValue="389"/>
    </cacheField>
    <cacheField name="Target" numFmtId="10">
      <sharedItems containsSemiMixedTypes="0" containsString="0" containsNumber="1" containsInteger="1" minValue="500" maxValue="500"/>
    </cacheField>
    <cacheField name="Target Hit %" numFmtId="0">
      <sharedItems containsSemiMixedTypes="0" containsString="0" containsNumber="1" minValue="1.7999999999999999E-2" maxValue="0.77800000000000002"/>
    </cacheField>
    <cacheField name="Away From Target %" numFmtId="0">
      <sharedItems containsSemiMixedTypes="0" containsString="0" containsNumber="1" minValue="0.22199999999999998" maxValue="0.98199999999999998"/>
    </cacheField>
  </cacheFields>
  <extLst>
    <ext xmlns:x14="http://schemas.microsoft.com/office/spreadsheetml/2009/9/main" uri="{725AE2AE-9491-48be-B2B4-4EB974FC3084}">
      <x14:pivotCacheDefinition pivotCacheId="99032369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Emp_001"/>
    <x v="0"/>
    <x v="0"/>
    <n v="49"/>
    <n v="84"/>
    <n v="98"/>
    <n v="67"/>
    <n v="41"/>
    <n v="339"/>
    <n v="500"/>
    <n v="0.67800000000000005"/>
    <n v="0.32199999999999995"/>
  </r>
  <r>
    <s v="Emp_002"/>
    <x v="1"/>
    <x v="1"/>
    <n v="44"/>
    <n v="85"/>
    <n v="7"/>
    <n v="4"/>
    <n v="3"/>
    <n v="143"/>
    <n v="500"/>
    <n v="0.28599999999999998"/>
    <n v="0.71399999999999997"/>
  </r>
  <r>
    <s v="Emp_003"/>
    <x v="2"/>
    <x v="2"/>
    <n v="45"/>
    <n v="79"/>
    <n v="88"/>
    <n v="73"/>
    <n v="94"/>
    <n v="379"/>
    <n v="500"/>
    <n v="0.75800000000000001"/>
    <n v="0.24199999999999999"/>
  </r>
  <r>
    <s v="Emp_004"/>
    <x v="3"/>
    <x v="3"/>
    <n v="52"/>
    <n v="99"/>
    <n v="13"/>
    <n v="95"/>
    <n v="29"/>
    <n v="288"/>
    <n v="500"/>
    <n v="0.57599999999999996"/>
    <n v="0.42400000000000004"/>
  </r>
  <r>
    <s v="Emp_005"/>
    <x v="4"/>
    <x v="4"/>
    <n v="35"/>
    <n v="54"/>
    <n v="49"/>
    <n v="26"/>
    <n v="49"/>
    <n v="213"/>
    <n v="500"/>
    <n v="0.42599999999999999"/>
    <n v="0.57400000000000007"/>
  </r>
  <r>
    <s v="Emp_006"/>
    <x v="5"/>
    <x v="5"/>
    <n v="86"/>
    <n v="31"/>
    <n v="23"/>
    <n v="48"/>
    <n v="77"/>
    <n v="265"/>
    <n v="500"/>
    <n v="0.53"/>
    <n v="0.47"/>
  </r>
  <r>
    <s v="Emp_007"/>
    <x v="6"/>
    <x v="6"/>
    <n v="84"/>
    <n v="28"/>
    <n v="98"/>
    <n v="80"/>
    <n v="79"/>
    <n v="369"/>
    <n v="500"/>
    <n v="0.73799999999999999"/>
    <n v="0.26200000000000001"/>
  </r>
  <r>
    <s v="Emp_008"/>
    <x v="7"/>
    <x v="7"/>
    <n v="73"/>
    <n v="97"/>
    <n v="38"/>
    <n v="24"/>
    <n v="53"/>
    <n v="285"/>
    <n v="500"/>
    <n v="0.56999999999999995"/>
    <n v="0.43000000000000005"/>
  </r>
  <r>
    <s v="Emp_009"/>
    <x v="8"/>
    <x v="0"/>
    <n v="3"/>
    <n v="44"/>
    <n v="23"/>
    <n v="43"/>
    <n v="20"/>
    <n v="133"/>
    <n v="500"/>
    <n v="0.26600000000000001"/>
    <n v="0.73399999999999999"/>
  </r>
  <r>
    <s v="Emp_010"/>
    <x v="9"/>
    <x v="1"/>
    <n v="52"/>
    <n v="52"/>
    <n v="19"/>
    <n v="53"/>
    <n v="37"/>
    <n v="213"/>
    <n v="500"/>
    <n v="0.42599999999999999"/>
    <n v="0.57400000000000007"/>
  </r>
  <r>
    <s v="Emp_011"/>
    <x v="10"/>
    <x v="2"/>
    <n v="63"/>
    <n v="17"/>
    <n v="40"/>
    <n v="48"/>
    <n v="51"/>
    <n v="219"/>
    <n v="500"/>
    <n v="0.438"/>
    <n v="0.56200000000000006"/>
  </r>
  <r>
    <s v="Emp_012"/>
    <x v="11"/>
    <x v="3"/>
    <n v="79"/>
    <n v="99"/>
    <n v="95"/>
    <n v="12"/>
    <n v="91"/>
    <n v="376"/>
    <n v="500"/>
    <n v="0.752"/>
    <n v="0.248"/>
  </r>
  <r>
    <s v="Emp_013"/>
    <x v="12"/>
    <x v="4"/>
    <n v="95"/>
    <n v="88"/>
    <n v="11"/>
    <n v="78"/>
    <n v="60"/>
    <n v="332"/>
    <n v="500"/>
    <n v="0.66400000000000003"/>
    <n v="0.33599999999999997"/>
  </r>
  <r>
    <s v="Emp_014"/>
    <x v="13"/>
    <x v="5"/>
    <n v="83"/>
    <n v="77"/>
    <n v="66"/>
    <n v="22"/>
    <n v="40"/>
    <n v="288"/>
    <n v="500"/>
    <n v="0.57599999999999996"/>
    <n v="0.42400000000000004"/>
  </r>
  <r>
    <s v="Emp_015"/>
    <x v="14"/>
    <x v="6"/>
    <n v="78"/>
    <n v="58"/>
    <n v="34"/>
    <n v="84"/>
    <n v="31"/>
    <n v="285"/>
    <n v="500"/>
    <n v="0.56999999999999995"/>
    <n v="0.43000000000000005"/>
  </r>
  <r>
    <s v="Emp_016"/>
    <x v="15"/>
    <x v="7"/>
    <n v="14"/>
    <n v="25"/>
    <n v="45"/>
    <n v="70"/>
    <n v="45"/>
    <n v="199"/>
    <n v="500"/>
    <n v="0.39800000000000002"/>
    <n v="0.60199999999999998"/>
  </r>
  <r>
    <s v="Emp_017"/>
    <x v="16"/>
    <x v="0"/>
    <n v="37"/>
    <n v="69"/>
    <n v="96"/>
    <n v="66"/>
    <n v="38"/>
    <n v="306"/>
    <n v="500"/>
    <n v="0.61199999999999999"/>
    <n v="0.38800000000000001"/>
  </r>
  <r>
    <s v="Emp_018"/>
    <x v="17"/>
    <x v="1"/>
    <n v="11"/>
    <n v="46"/>
    <n v="91"/>
    <n v="98"/>
    <n v="45"/>
    <n v="291"/>
    <n v="500"/>
    <n v="0.58199999999999996"/>
    <n v="0.41800000000000004"/>
  </r>
  <r>
    <s v="Emp_019"/>
    <x v="18"/>
    <x v="2"/>
    <n v="19"/>
    <n v="34"/>
    <n v="64"/>
    <n v="65"/>
    <n v="70"/>
    <n v="252"/>
    <n v="500"/>
    <n v="0.504"/>
    <n v="0.496"/>
  </r>
  <r>
    <s v="Emp_020"/>
    <x v="19"/>
    <x v="3"/>
    <n v="93"/>
    <n v="84"/>
    <n v="13"/>
    <n v="45"/>
    <n v="18"/>
    <n v="253"/>
    <n v="500"/>
    <n v="0.50600000000000001"/>
    <n v="0.49399999999999999"/>
  </r>
  <r>
    <s v="Emp_021"/>
    <x v="20"/>
    <x v="4"/>
    <n v="68"/>
    <n v="73"/>
    <n v="97"/>
    <n v="76"/>
    <n v="53"/>
    <n v="367"/>
    <n v="500"/>
    <n v="0.73399999999999999"/>
    <n v="0.26600000000000001"/>
  </r>
  <r>
    <s v="Emp_022"/>
    <x v="21"/>
    <x v="5"/>
    <n v="99"/>
    <n v="17"/>
    <n v="48"/>
    <n v="44"/>
    <n v="93"/>
    <n v="301"/>
    <n v="500"/>
    <n v="0.60199999999999998"/>
    <n v="0.39800000000000002"/>
  </r>
  <r>
    <s v="Emp_023"/>
    <x v="22"/>
    <x v="6"/>
    <n v="57"/>
    <n v="28"/>
    <n v="31"/>
    <n v="34"/>
    <n v="52"/>
    <n v="202"/>
    <n v="500"/>
    <n v="0.40400000000000003"/>
    <n v="0.59599999999999997"/>
  </r>
  <r>
    <s v="Emp_024"/>
    <x v="23"/>
    <x v="7"/>
    <n v="40"/>
    <n v="22"/>
    <n v="18"/>
    <n v="11"/>
    <n v="92"/>
    <n v="183"/>
    <n v="500"/>
    <n v="0.36599999999999999"/>
    <n v="0.63400000000000001"/>
  </r>
  <r>
    <s v="Emp_025"/>
    <x v="24"/>
    <x v="0"/>
    <n v="47"/>
    <n v="99"/>
    <n v="94"/>
    <n v="75"/>
    <n v="29"/>
    <n v="344"/>
    <n v="500"/>
    <n v="0.68799999999999994"/>
    <n v="0.31200000000000006"/>
  </r>
  <r>
    <s v="Emp_026"/>
    <x v="25"/>
    <x v="1"/>
    <n v="16"/>
    <n v="71"/>
    <n v="80"/>
    <n v="76"/>
    <n v="33"/>
    <n v="276"/>
    <n v="500"/>
    <n v="0.55200000000000005"/>
    <n v="0.44799999999999995"/>
  </r>
  <r>
    <s v="Emp_027"/>
    <x v="26"/>
    <x v="2"/>
    <n v="72"/>
    <n v="87"/>
    <n v="92"/>
    <n v="72"/>
    <n v="34"/>
    <n v="357"/>
    <n v="500"/>
    <n v="0.71399999999999997"/>
    <n v="0.28600000000000003"/>
  </r>
  <r>
    <s v="Emp_028"/>
    <x v="27"/>
    <x v="3"/>
    <n v="30"/>
    <n v="38"/>
    <n v="70"/>
    <n v="89"/>
    <n v="97"/>
    <n v="324"/>
    <n v="500"/>
    <n v="0.64800000000000002"/>
    <n v="0.35199999999999998"/>
  </r>
  <r>
    <s v="Emp_029"/>
    <x v="28"/>
    <x v="4"/>
    <n v="65"/>
    <n v="90"/>
    <n v="91"/>
    <n v="85"/>
    <n v="10"/>
    <n v="341"/>
    <n v="500"/>
    <n v="0.68200000000000005"/>
    <n v="0.31799999999999995"/>
  </r>
  <r>
    <s v="Emp_030"/>
    <x v="29"/>
    <x v="5"/>
    <n v="83"/>
    <n v="46"/>
    <n v="99"/>
    <n v="36"/>
    <n v="89"/>
    <n v="353"/>
    <n v="500"/>
    <n v="0.70599999999999996"/>
    <n v="0.29400000000000004"/>
  </r>
  <r>
    <s v="Emp_031"/>
    <x v="30"/>
    <x v="6"/>
    <n v="10"/>
    <n v="66"/>
    <n v="40"/>
    <n v="22"/>
    <n v="38"/>
    <n v="176"/>
    <n v="500"/>
    <n v="0.35199999999999998"/>
    <n v="0.64800000000000002"/>
  </r>
  <r>
    <s v="Emp_032"/>
    <x v="31"/>
    <x v="7"/>
    <n v="0"/>
    <n v="2"/>
    <n v="2"/>
    <n v="2"/>
    <n v="3"/>
    <n v="9"/>
    <n v="500"/>
    <n v="1.7999999999999999E-2"/>
    <n v="0.98199999999999998"/>
  </r>
  <r>
    <s v="Emp_033"/>
    <x v="32"/>
    <x v="0"/>
    <n v="83"/>
    <n v="46"/>
    <n v="17"/>
    <n v="94"/>
    <n v="92"/>
    <n v="332"/>
    <n v="500"/>
    <n v="0.66400000000000003"/>
    <n v="0.33599999999999997"/>
  </r>
  <r>
    <s v="Emp_034"/>
    <x v="33"/>
    <x v="1"/>
    <n v="84"/>
    <n v="59"/>
    <n v="41"/>
    <n v="17"/>
    <n v="22"/>
    <n v="223"/>
    <n v="500"/>
    <n v="0.44600000000000001"/>
    <n v="0.55400000000000005"/>
  </r>
  <r>
    <s v="Emp_035"/>
    <x v="34"/>
    <x v="2"/>
    <n v="82"/>
    <n v="54"/>
    <n v="79"/>
    <n v="61"/>
    <n v="47"/>
    <n v="323"/>
    <n v="500"/>
    <n v="0.64600000000000002"/>
    <n v="0.35399999999999998"/>
  </r>
  <r>
    <s v="Emp_036"/>
    <x v="35"/>
    <x v="3"/>
    <n v="47"/>
    <n v="23"/>
    <n v="19"/>
    <n v="64"/>
    <n v="61"/>
    <n v="214"/>
    <n v="500"/>
    <n v="0.42799999999999999"/>
    <n v="0.57200000000000006"/>
  </r>
  <r>
    <s v="Emp_037"/>
    <x v="36"/>
    <x v="4"/>
    <n v="91"/>
    <n v="13"/>
    <n v="79"/>
    <n v="85"/>
    <n v="67"/>
    <n v="335"/>
    <n v="500"/>
    <n v="0.67"/>
    <n v="0.32999999999999996"/>
  </r>
  <r>
    <s v="Emp_038"/>
    <x v="37"/>
    <x v="5"/>
    <n v="66"/>
    <n v="59"/>
    <n v="25"/>
    <n v="55"/>
    <n v="59"/>
    <n v="264"/>
    <n v="500"/>
    <n v="0.52800000000000002"/>
    <n v="0.47199999999999998"/>
  </r>
  <r>
    <s v="Emp_039"/>
    <x v="38"/>
    <x v="6"/>
    <n v="70"/>
    <n v="18"/>
    <n v="88"/>
    <n v="46"/>
    <n v="52"/>
    <n v="274"/>
    <n v="500"/>
    <n v="0.54800000000000004"/>
    <n v="0.45199999999999996"/>
  </r>
  <r>
    <s v="Emp_040"/>
    <x v="39"/>
    <x v="7"/>
    <n v="37"/>
    <n v="60"/>
    <n v="44"/>
    <n v="61"/>
    <n v="30"/>
    <n v="232"/>
    <n v="500"/>
    <n v="0.46400000000000002"/>
    <n v="0.53600000000000003"/>
  </r>
  <r>
    <s v="Emp_041"/>
    <x v="40"/>
    <x v="0"/>
    <n v="16"/>
    <n v="46"/>
    <n v="33"/>
    <n v="54"/>
    <n v="58"/>
    <n v="207"/>
    <n v="500"/>
    <n v="0.41399999999999998"/>
    <n v="0.58600000000000008"/>
  </r>
  <r>
    <s v="Emp_042"/>
    <x v="41"/>
    <x v="1"/>
    <n v="47"/>
    <n v="97"/>
    <n v="74"/>
    <n v="97"/>
    <n v="56"/>
    <n v="371"/>
    <n v="500"/>
    <n v="0.74199999999999999"/>
    <n v="0.25800000000000001"/>
  </r>
  <r>
    <s v="Emp_043"/>
    <x v="42"/>
    <x v="2"/>
    <n v="86"/>
    <n v="22"/>
    <n v="10"/>
    <n v="60"/>
    <n v="28"/>
    <n v="206"/>
    <n v="500"/>
    <n v="0.41199999999999998"/>
    <n v="0.58800000000000008"/>
  </r>
  <r>
    <s v="Emp_044"/>
    <x v="43"/>
    <x v="3"/>
    <n v="74"/>
    <n v="17"/>
    <n v="45"/>
    <n v="64"/>
    <n v="13"/>
    <n v="213"/>
    <n v="500"/>
    <n v="0.42599999999999999"/>
    <n v="0.57400000000000007"/>
  </r>
  <r>
    <s v="Emp_045"/>
    <x v="44"/>
    <x v="4"/>
    <n v="80"/>
    <n v="51"/>
    <n v="15"/>
    <n v="97"/>
    <n v="42"/>
    <n v="285"/>
    <n v="500"/>
    <n v="0.56999999999999995"/>
    <n v="0.43000000000000005"/>
  </r>
  <r>
    <s v="Emp_046"/>
    <x v="45"/>
    <x v="5"/>
    <n v="49"/>
    <n v="82"/>
    <n v="95"/>
    <n v="46"/>
    <n v="78"/>
    <n v="350"/>
    <n v="500"/>
    <n v="0.7"/>
    <n v="0.30000000000000004"/>
  </r>
  <r>
    <s v="Emp_047"/>
    <x v="46"/>
    <x v="6"/>
    <n v="17"/>
    <n v="88"/>
    <n v="12"/>
    <n v="54"/>
    <n v="21"/>
    <n v="192"/>
    <n v="500"/>
    <n v="0.38400000000000001"/>
    <n v="0.61599999999999999"/>
  </r>
  <r>
    <s v="Emp_048"/>
    <x v="47"/>
    <x v="7"/>
    <n v="74"/>
    <n v="16"/>
    <n v="74"/>
    <n v="36"/>
    <n v="33"/>
    <n v="233"/>
    <n v="500"/>
    <n v="0.46600000000000003"/>
    <n v="0.53400000000000003"/>
  </r>
  <r>
    <s v="Emp_049"/>
    <x v="48"/>
    <x v="0"/>
    <n v="73"/>
    <n v="72"/>
    <n v="38"/>
    <n v="19"/>
    <n v="90"/>
    <n v="292"/>
    <n v="500"/>
    <n v="0.58399999999999996"/>
    <n v="0.41600000000000004"/>
  </r>
  <r>
    <s v="Emp_050"/>
    <x v="49"/>
    <x v="1"/>
    <n v="17"/>
    <n v="84"/>
    <n v="90"/>
    <n v="77"/>
    <n v="72"/>
    <n v="340"/>
    <n v="500"/>
    <n v="0.68"/>
    <n v="0.31999999999999995"/>
  </r>
  <r>
    <s v="Emp_051"/>
    <x v="50"/>
    <x v="2"/>
    <n v="52"/>
    <n v="36"/>
    <n v="84"/>
    <n v="41"/>
    <n v="57"/>
    <n v="270"/>
    <n v="500"/>
    <n v="0.54"/>
    <n v="0.45999999999999996"/>
  </r>
  <r>
    <s v="Emp_052"/>
    <x v="51"/>
    <x v="3"/>
    <n v="65"/>
    <n v="67"/>
    <n v="72"/>
    <n v="22"/>
    <n v="23"/>
    <n v="249"/>
    <n v="500"/>
    <n v="0.498"/>
    <n v="0.502"/>
  </r>
  <r>
    <s v="Emp_053"/>
    <x v="52"/>
    <x v="4"/>
    <n v="88"/>
    <n v="39"/>
    <n v="25"/>
    <n v="99"/>
    <n v="71"/>
    <n v="322"/>
    <n v="500"/>
    <n v="0.64400000000000002"/>
    <n v="0.35599999999999998"/>
  </r>
  <r>
    <s v="Emp_054"/>
    <x v="53"/>
    <x v="5"/>
    <n v="23"/>
    <n v="14"/>
    <n v="15"/>
    <n v="58"/>
    <n v="79"/>
    <n v="189"/>
    <n v="500"/>
    <n v="0.378"/>
    <n v="0.622"/>
  </r>
  <r>
    <s v="Emp_055"/>
    <x v="54"/>
    <x v="6"/>
    <n v="15"/>
    <n v="67"/>
    <n v="48"/>
    <n v="95"/>
    <n v="35"/>
    <n v="260"/>
    <n v="500"/>
    <n v="0.52"/>
    <n v="0.48"/>
  </r>
  <r>
    <s v="Emp_056"/>
    <x v="55"/>
    <x v="7"/>
    <n v="18"/>
    <n v="35"/>
    <n v="82"/>
    <n v="31"/>
    <n v="26"/>
    <n v="192"/>
    <n v="500"/>
    <n v="0.38400000000000001"/>
    <n v="0.61599999999999999"/>
  </r>
  <r>
    <s v="Emp_057"/>
    <x v="56"/>
    <x v="0"/>
    <n v="57"/>
    <n v="60"/>
    <n v="42"/>
    <n v="81"/>
    <n v="44"/>
    <n v="284"/>
    <n v="500"/>
    <n v="0.56799999999999995"/>
    <n v="0.43200000000000005"/>
  </r>
  <r>
    <s v="Emp_058"/>
    <x v="57"/>
    <x v="1"/>
    <n v="34"/>
    <n v="97"/>
    <n v="66"/>
    <n v="45"/>
    <n v="50"/>
    <n v="292"/>
    <n v="500"/>
    <n v="0.58399999999999996"/>
    <n v="0.41600000000000004"/>
  </r>
  <r>
    <s v="Emp_059"/>
    <x v="58"/>
    <x v="2"/>
    <n v="83"/>
    <n v="12"/>
    <n v="70"/>
    <n v="83"/>
    <n v="52"/>
    <n v="300"/>
    <n v="500"/>
    <n v="0.6"/>
    <n v="0.4"/>
  </r>
  <r>
    <s v="Emp_060"/>
    <x v="59"/>
    <x v="3"/>
    <n v="76"/>
    <n v="55"/>
    <n v="56"/>
    <n v="16"/>
    <n v="61"/>
    <n v="264"/>
    <n v="500"/>
    <n v="0.52800000000000002"/>
    <n v="0.47199999999999998"/>
  </r>
  <r>
    <s v="Emp_061"/>
    <x v="60"/>
    <x v="4"/>
    <n v="40"/>
    <n v="70"/>
    <n v="19"/>
    <n v="36"/>
    <n v="52"/>
    <n v="217"/>
    <n v="500"/>
    <n v="0.434"/>
    <n v="0.56600000000000006"/>
  </r>
  <r>
    <s v="Emp_062"/>
    <x v="61"/>
    <x v="5"/>
    <n v="44"/>
    <n v="60"/>
    <n v="71"/>
    <n v="34"/>
    <n v="37"/>
    <n v="246"/>
    <n v="500"/>
    <n v="0.49199999999999999"/>
    <n v="0.50800000000000001"/>
  </r>
  <r>
    <s v="Emp_063"/>
    <x v="62"/>
    <x v="6"/>
    <n v="43"/>
    <n v="78"/>
    <n v="15"/>
    <n v="98"/>
    <n v="33"/>
    <n v="267"/>
    <n v="500"/>
    <n v="0.53400000000000003"/>
    <n v="0.46599999999999997"/>
  </r>
  <r>
    <s v="Emp_064"/>
    <x v="63"/>
    <x v="7"/>
    <n v="75"/>
    <n v="75"/>
    <n v="89"/>
    <n v="97"/>
    <n v="49"/>
    <n v="385"/>
    <n v="500"/>
    <n v="0.77"/>
    <n v="0.22999999999999998"/>
  </r>
  <r>
    <s v="Emp_065"/>
    <x v="64"/>
    <x v="0"/>
    <n v="74"/>
    <n v="51"/>
    <n v="97"/>
    <n v="73"/>
    <n v="33"/>
    <n v="328"/>
    <n v="500"/>
    <n v="0.65600000000000003"/>
    <n v="0.34399999999999997"/>
  </r>
  <r>
    <s v="Emp_066"/>
    <x v="65"/>
    <x v="1"/>
    <n v="44"/>
    <n v="36"/>
    <n v="11"/>
    <n v="45"/>
    <n v="30"/>
    <n v="166"/>
    <n v="500"/>
    <n v="0.33200000000000002"/>
    <n v="0.66799999999999993"/>
  </r>
  <r>
    <s v="Emp_067"/>
    <x v="66"/>
    <x v="2"/>
    <n v="87"/>
    <n v="79"/>
    <n v="46"/>
    <n v="65"/>
    <n v="65"/>
    <n v="342"/>
    <n v="500"/>
    <n v="0.68400000000000005"/>
    <n v="0.31599999999999995"/>
  </r>
  <r>
    <s v="Emp_068"/>
    <x v="67"/>
    <x v="3"/>
    <n v="70"/>
    <n v="52"/>
    <n v="80"/>
    <n v="43"/>
    <n v="48"/>
    <n v="293"/>
    <n v="500"/>
    <n v="0.58599999999999997"/>
    <n v="0.41400000000000003"/>
  </r>
  <r>
    <s v="Emp_069"/>
    <x v="68"/>
    <x v="4"/>
    <n v="45"/>
    <n v="26"/>
    <n v="27"/>
    <n v="14"/>
    <n v="59"/>
    <n v="171"/>
    <n v="500"/>
    <n v="0.34200000000000003"/>
    <n v="0.65799999999999992"/>
  </r>
  <r>
    <s v="Emp_070"/>
    <x v="69"/>
    <x v="5"/>
    <n v="51"/>
    <n v="26"/>
    <n v="58"/>
    <n v="83"/>
    <n v="11"/>
    <n v="229"/>
    <n v="500"/>
    <n v="0.45800000000000002"/>
    <n v="0.54200000000000004"/>
  </r>
  <r>
    <s v="Emp_071"/>
    <x v="70"/>
    <x v="6"/>
    <n v="68"/>
    <n v="36"/>
    <n v="15"/>
    <n v="20"/>
    <n v="17"/>
    <n v="156"/>
    <n v="500"/>
    <n v="0.312"/>
    <n v="0.68799999999999994"/>
  </r>
  <r>
    <s v="Emp_072"/>
    <x v="71"/>
    <x v="7"/>
    <n v="32"/>
    <n v="74"/>
    <n v="18"/>
    <n v="33"/>
    <n v="51"/>
    <n v="208"/>
    <n v="500"/>
    <n v="0.41599999999999998"/>
    <n v="0.58400000000000007"/>
  </r>
  <r>
    <s v="Emp_073"/>
    <x v="72"/>
    <x v="0"/>
    <n v="41"/>
    <n v="11"/>
    <n v="46"/>
    <n v="35"/>
    <n v="10"/>
    <n v="143"/>
    <n v="500"/>
    <n v="0.28599999999999998"/>
    <n v="0.71399999999999997"/>
  </r>
  <r>
    <s v="Emp_074"/>
    <x v="73"/>
    <x v="1"/>
    <n v="41"/>
    <n v="17"/>
    <n v="82"/>
    <n v="75"/>
    <n v="39"/>
    <n v="254"/>
    <n v="500"/>
    <n v="0.50800000000000001"/>
    <n v="0.49199999999999999"/>
  </r>
  <r>
    <s v="Emp_075"/>
    <x v="74"/>
    <x v="2"/>
    <n v="12"/>
    <n v="97"/>
    <n v="45"/>
    <n v="29"/>
    <n v="41"/>
    <n v="224"/>
    <n v="500"/>
    <n v="0.44800000000000001"/>
    <n v="0.55200000000000005"/>
  </r>
  <r>
    <s v="Emp_076"/>
    <x v="75"/>
    <x v="3"/>
    <n v="19"/>
    <n v="72"/>
    <n v="87"/>
    <n v="82"/>
    <n v="27"/>
    <n v="287"/>
    <n v="500"/>
    <n v="0.57399999999999995"/>
    <n v="0.42600000000000005"/>
  </r>
  <r>
    <s v="Emp_077"/>
    <x v="76"/>
    <x v="4"/>
    <n v="98"/>
    <n v="15"/>
    <n v="72"/>
    <n v="67"/>
    <n v="34"/>
    <n v="286"/>
    <n v="500"/>
    <n v="0.57199999999999995"/>
    <n v="0.42800000000000005"/>
  </r>
  <r>
    <s v="Emp_078"/>
    <x v="77"/>
    <x v="5"/>
    <n v="50"/>
    <n v="44"/>
    <n v="46"/>
    <n v="13"/>
    <n v="92"/>
    <n v="245"/>
    <n v="500"/>
    <n v="0.49"/>
    <n v="0.51"/>
  </r>
  <r>
    <s v="Emp_079"/>
    <x v="78"/>
    <x v="6"/>
    <n v="40"/>
    <n v="82"/>
    <n v="72"/>
    <n v="42"/>
    <n v="45"/>
    <n v="281"/>
    <n v="500"/>
    <n v="0.56200000000000006"/>
    <n v="0.43799999999999994"/>
  </r>
  <r>
    <s v="Emp_080"/>
    <x v="79"/>
    <x v="7"/>
    <n v="23"/>
    <n v="83"/>
    <n v="63"/>
    <n v="65"/>
    <n v="83"/>
    <n v="317"/>
    <n v="500"/>
    <n v="0.63400000000000001"/>
    <n v="0.36599999999999999"/>
  </r>
  <r>
    <s v="Emp_081"/>
    <x v="80"/>
    <x v="0"/>
    <n v="71"/>
    <n v="94"/>
    <n v="45"/>
    <n v="95"/>
    <n v="46"/>
    <n v="351"/>
    <n v="500"/>
    <n v="0.70199999999999996"/>
    <n v="0.29800000000000004"/>
  </r>
  <r>
    <s v="Emp_082"/>
    <x v="81"/>
    <x v="1"/>
    <n v="48"/>
    <n v="49"/>
    <n v="68"/>
    <n v="23"/>
    <n v="21"/>
    <n v="209"/>
    <n v="500"/>
    <n v="0.41799999999999998"/>
    <n v="0.58200000000000007"/>
  </r>
  <r>
    <s v="Emp_083"/>
    <x v="82"/>
    <x v="2"/>
    <n v="77"/>
    <n v="83"/>
    <n v="64"/>
    <n v="53"/>
    <n v="13"/>
    <n v="290"/>
    <n v="500"/>
    <n v="0.57999999999999996"/>
    <n v="0.42000000000000004"/>
  </r>
  <r>
    <s v="Emp_084"/>
    <x v="83"/>
    <x v="3"/>
    <n v="81"/>
    <n v="63"/>
    <n v="88"/>
    <n v="89"/>
    <n v="63"/>
    <n v="384"/>
    <n v="500"/>
    <n v="0.76800000000000002"/>
    <n v="0.23199999999999998"/>
  </r>
  <r>
    <s v="Emp_085"/>
    <x v="84"/>
    <x v="4"/>
    <n v="39"/>
    <n v="87"/>
    <n v="62"/>
    <n v="80"/>
    <n v="81"/>
    <n v="349"/>
    <n v="500"/>
    <n v="0.69799999999999995"/>
    <n v="0.30200000000000005"/>
  </r>
  <r>
    <s v="Emp_086"/>
    <x v="85"/>
    <x v="5"/>
    <n v="46"/>
    <n v="19"/>
    <n v="59"/>
    <n v="58"/>
    <n v="33"/>
    <n v="215"/>
    <n v="500"/>
    <n v="0.43"/>
    <n v="0.57000000000000006"/>
  </r>
  <r>
    <s v="Emp_087"/>
    <x v="86"/>
    <x v="6"/>
    <n v="34"/>
    <n v="15"/>
    <n v="43"/>
    <n v="63"/>
    <n v="54"/>
    <n v="209"/>
    <n v="500"/>
    <n v="0.41799999999999998"/>
    <n v="0.58200000000000007"/>
  </r>
  <r>
    <s v="Emp_088"/>
    <x v="87"/>
    <x v="7"/>
    <n v="32"/>
    <n v="79"/>
    <n v="65"/>
    <n v="57"/>
    <n v="73"/>
    <n v="306"/>
    <n v="500"/>
    <n v="0.61199999999999999"/>
    <n v="0.38800000000000001"/>
  </r>
  <r>
    <s v="Emp_089"/>
    <x v="88"/>
    <x v="0"/>
    <n v="72"/>
    <n v="82"/>
    <n v="58"/>
    <n v="36"/>
    <n v="33"/>
    <n v="281"/>
    <n v="500"/>
    <n v="0.56200000000000006"/>
    <n v="0.43799999999999994"/>
  </r>
  <r>
    <s v="Emp_090"/>
    <x v="89"/>
    <x v="1"/>
    <n v="11"/>
    <n v="69"/>
    <n v="49"/>
    <n v="90"/>
    <n v="99"/>
    <n v="318"/>
    <n v="500"/>
    <n v="0.63600000000000001"/>
    <n v="0.36399999999999999"/>
  </r>
  <r>
    <s v="Emp_091"/>
    <x v="90"/>
    <x v="2"/>
    <n v="80"/>
    <n v="73"/>
    <n v="21"/>
    <n v="72"/>
    <n v="54"/>
    <n v="300"/>
    <n v="500"/>
    <n v="0.6"/>
    <n v="0.4"/>
  </r>
  <r>
    <s v="Emp_092"/>
    <x v="91"/>
    <x v="3"/>
    <n v="93"/>
    <n v="42"/>
    <n v="38"/>
    <n v="98"/>
    <n v="10"/>
    <n v="281"/>
    <n v="500"/>
    <n v="0.56200000000000006"/>
    <n v="0.43799999999999994"/>
  </r>
  <r>
    <s v="Emp_093"/>
    <x v="9"/>
    <x v="4"/>
    <n v="18"/>
    <n v="80"/>
    <n v="20"/>
    <n v="32"/>
    <n v="95"/>
    <n v="245"/>
    <n v="500"/>
    <n v="0.49"/>
    <n v="0.51"/>
  </r>
  <r>
    <s v="Emp_094"/>
    <x v="92"/>
    <x v="5"/>
    <n v="96"/>
    <n v="14"/>
    <n v="20"/>
    <n v="31"/>
    <n v="44"/>
    <n v="205"/>
    <n v="500"/>
    <n v="0.41"/>
    <n v="0.59000000000000008"/>
  </r>
  <r>
    <s v="Emp_095"/>
    <x v="93"/>
    <x v="6"/>
    <n v="37"/>
    <n v="60"/>
    <n v="50"/>
    <n v="68"/>
    <n v="19"/>
    <n v="234"/>
    <n v="500"/>
    <n v="0.46800000000000003"/>
    <n v="0.53200000000000003"/>
  </r>
  <r>
    <s v="Emp_096"/>
    <x v="94"/>
    <x v="7"/>
    <n v="35"/>
    <n v="79"/>
    <n v="17"/>
    <n v="85"/>
    <n v="16"/>
    <n v="232"/>
    <n v="500"/>
    <n v="0.46400000000000002"/>
    <n v="0.53600000000000003"/>
  </r>
  <r>
    <s v="Emp_097"/>
    <x v="95"/>
    <x v="0"/>
    <n v="31"/>
    <n v="48"/>
    <n v="56"/>
    <n v="85"/>
    <n v="25"/>
    <n v="245"/>
    <n v="500"/>
    <n v="0.49"/>
    <n v="0.51"/>
  </r>
  <r>
    <s v="Emp_098"/>
    <x v="96"/>
    <x v="1"/>
    <n v="23"/>
    <n v="83"/>
    <n v="86"/>
    <n v="69"/>
    <n v="25"/>
    <n v="286"/>
    <n v="500"/>
    <n v="0.57199999999999995"/>
    <n v="0.42800000000000005"/>
  </r>
  <r>
    <s v="Emp_099"/>
    <x v="90"/>
    <x v="2"/>
    <n v="17"/>
    <n v="56"/>
    <n v="44"/>
    <n v="2"/>
    <n v="76"/>
    <n v="195"/>
    <n v="500"/>
    <n v="0.39"/>
    <n v="0.61"/>
  </r>
  <r>
    <s v="Emp_100"/>
    <x v="8"/>
    <x v="3"/>
    <n v="92"/>
    <n v="45"/>
    <n v="43"/>
    <n v="91"/>
    <n v="47"/>
    <n v="318"/>
    <n v="500"/>
    <n v="0.63600000000000001"/>
    <n v="0.36399999999999999"/>
  </r>
  <r>
    <s v="Emp_101"/>
    <x v="97"/>
    <x v="4"/>
    <n v="49"/>
    <n v="77"/>
    <n v="18"/>
    <n v="69"/>
    <n v="55"/>
    <n v="268"/>
    <n v="500"/>
    <n v="0.53600000000000003"/>
    <n v="0.46399999999999997"/>
  </r>
  <r>
    <s v="Emp_102"/>
    <x v="98"/>
    <x v="5"/>
    <n v="81"/>
    <n v="88"/>
    <n v="19"/>
    <n v="95"/>
    <n v="39"/>
    <n v="322"/>
    <n v="500"/>
    <n v="0.64400000000000002"/>
    <n v="0.35599999999999998"/>
  </r>
  <r>
    <s v="Emp_103"/>
    <x v="99"/>
    <x v="6"/>
    <n v="55"/>
    <n v="14"/>
    <n v="41"/>
    <n v="40"/>
    <n v="70"/>
    <n v="220"/>
    <n v="500"/>
    <n v="0.44"/>
    <n v="0.56000000000000005"/>
  </r>
  <r>
    <s v="Emp_104"/>
    <x v="100"/>
    <x v="7"/>
    <n v="86"/>
    <n v="13"/>
    <n v="99"/>
    <n v="25"/>
    <n v="83"/>
    <n v="306"/>
    <n v="500"/>
    <n v="0.61199999999999999"/>
    <n v="0.38800000000000001"/>
  </r>
  <r>
    <s v="Emp_105"/>
    <x v="101"/>
    <x v="0"/>
    <n v="88"/>
    <n v="96"/>
    <n v="16"/>
    <n v="65"/>
    <n v="86"/>
    <n v="351"/>
    <n v="500"/>
    <n v="0.70199999999999996"/>
    <n v="0.29800000000000004"/>
  </r>
  <r>
    <s v="Emp_106"/>
    <x v="102"/>
    <x v="1"/>
    <n v="61"/>
    <n v="73"/>
    <n v="34"/>
    <n v="30"/>
    <n v="30"/>
    <n v="228"/>
    <n v="500"/>
    <n v="0.45600000000000002"/>
    <n v="0.54400000000000004"/>
  </r>
  <r>
    <s v="Emp_107"/>
    <x v="103"/>
    <x v="2"/>
    <n v="61"/>
    <n v="91"/>
    <n v="53"/>
    <n v="78"/>
    <n v="91"/>
    <n v="374"/>
    <n v="500"/>
    <n v="0.748"/>
    <n v="0.252"/>
  </r>
  <r>
    <s v="Emp_108"/>
    <x v="104"/>
    <x v="3"/>
    <n v="75"/>
    <n v="53"/>
    <n v="27"/>
    <n v="26"/>
    <n v="30"/>
    <n v="211"/>
    <n v="500"/>
    <n v="0.42199999999999999"/>
    <n v="0.57800000000000007"/>
  </r>
  <r>
    <s v="Emp_109"/>
    <x v="105"/>
    <x v="4"/>
    <n v="24"/>
    <n v="31"/>
    <n v="41"/>
    <n v="57"/>
    <n v="83"/>
    <n v="236"/>
    <n v="500"/>
    <n v="0.47199999999999998"/>
    <n v="0.52800000000000002"/>
  </r>
  <r>
    <s v="Emp_110"/>
    <x v="106"/>
    <x v="5"/>
    <n v="83"/>
    <n v="62"/>
    <n v="32"/>
    <n v="83"/>
    <n v="95"/>
    <n v="355"/>
    <n v="500"/>
    <n v="0.71"/>
    <n v="0.29000000000000004"/>
  </r>
  <r>
    <s v="Emp_111"/>
    <x v="107"/>
    <x v="6"/>
    <n v="39"/>
    <n v="52"/>
    <n v="72"/>
    <n v="99"/>
    <n v="58"/>
    <n v="320"/>
    <n v="500"/>
    <n v="0.64"/>
    <n v="0.36"/>
  </r>
  <r>
    <s v="Emp_112"/>
    <x v="108"/>
    <x v="7"/>
    <n v="93"/>
    <n v="74"/>
    <n v="85"/>
    <n v="47"/>
    <n v="90"/>
    <n v="389"/>
    <n v="500"/>
    <n v="0.77800000000000002"/>
    <n v="0.22199999999999998"/>
  </r>
  <r>
    <s v="Emp_113"/>
    <x v="1"/>
    <x v="0"/>
    <n v="43"/>
    <n v="88"/>
    <n v="35"/>
    <n v="54"/>
    <n v="91"/>
    <n v="311"/>
    <n v="500"/>
    <n v="0.622"/>
    <n v="0.378"/>
  </r>
  <r>
    <s v="Emp_114"/>
    <x v="109"/>
    <x v="1"/>
    <n v="87"/>
    <n v="15"/>
    <n v="11"/>
    <n v="42"/>
    <n v="88"/>
    <n v="243"/>
    <n v="500"/>
    <n v="0.48599999999999999"/>
    <n v="0.51400000000000001"/>
  </r>
  <r>
    <s v="Emp_115"/>
    <x v="110"/>
    <x v="2"/>
    <n v="45"/>
    <n v="45"/>
    <n v="61"/>
    <n v="11"/>
    <n v="52"/>
    <n v="214"/>
    <n v="500"/>
    <n v="0.42799999999999999"/>
    <n v="0.57200000000000006"/>
  </r>
  <r>
    <s v="Emp_116"/>
    <x v="111"/>
    <x v="3"/>
    <n v="71"/>
    <n v="42"/>
    <n v="17"/>
    <n v="57"/>
    <n v="96"/>
    <n v="283"/>
    <n v="500"/>
    <n v="0.56599999999999995"/>
    <n v="0.43400000000000005"/>
  </r>
  <r>
    <s v="Emp_117"/>
    <x v="112"/>
    <x v="4"/>
    <n v="26"/>
    <n v="65"/>
    <n v="17"/>
    <n v="28"/>
    <n v="30"/>
    <n v="166"/>
    <n v="500"/>
    <n v="0.33200000000000002"/>
    <n v="0.66799999999999993"/>
  </r>
  <r>
    <s v="Emp_118"/>
    <x v="31"/>
    <x v="5"/>
    <n v="31"/>
    <n v="18"/>
    <n v="21"/>
    <n v="21"/>
    <n v="33"/>
    <n v="124"/>
    <n v="500"/>
    <n v="0.248"/>
    <n v="0.752"/>
  </r>
  <r>
    <s v="Emp_119"/>
    <x v="113"/>
    <x v="6"/>
    <n v="93"/>
    <n v="11"/>
    <n v="93"/>
    <n v="31"/>
    <n v="30"/>
    <n v="258"/>
    <n v="500"/>
    <n v="0.51600000000000001"/>
    <n v="0.48399999999999999"/>
  </r>
  <r>
    <s v="Emp_120"/>
    <x v="114"/>
    <x v="7"/>
    <n v="65"/>
    <n v="92"/>
    <n v="48"/>
    <n v="96"/>
    <n v="15"/>
    <n v="316"/>
    <n v="500"/>
    <n v="0.63200000000000001"/>
    <n v="0.36799999999999999"/>
  </r>
  <r>
    <s v="Emp_121"/>
    <x v="115"/>
    <x v="0"/>
    <n v="91"/>
    <n v="38"/>
    <n v="33"/>
    <n v="55"/>
    <n v="83"/>
    <n v="300"/>
    <n v="500"/>
    <n v="0.6"/>
    <n v="0.4"/>
  </r>
  <r>
    <s v="Emp_122"/>
    <x v="116"/>
    <x v="1"/>
    <n v="20"/>
    <n v="94"/>
    <n v="45"/>
    <n v="70"/>
    <n v="98"/>
    <n v="327"/>
    <n v="500"/>
    <n v="0.65400000000000003"/>
    <n v="0.34599999999999997"/>
  </r>
  <r>
    <s v="Emp_123"/>
    <x v="117"/>
    <x v="2"/>
    <n v="25"/>
    <n v="83"/>
    <n v="26"/>
    <n v="68"/>
    <n v="22"/>
    <n v="224"/>
    <n v="500"/>
    <n v="0.44800000000000001"/>
    <n v="0.55200000000000005"/>
  </r>
  <r>
    <s v="Emp_124"/>
    <x v="118"/>
    <x v="3"/>
    <n v="26"/>
    <n v="16"/>
    <n v="61"/>
    <n v="92"/>
    <n v="50"/>
    <n v="245"/>
    <n v="500"/>
    <n v="0.49"/>
    <n v="0.51"/>
  </r>
  <r>
    <s v="Emp_125"/>
    <x v="119"/>
    <x v="4"/>
    <n v="31"/>
    <n v="55"/>
    <n v="75"/>
    <n v="66"/>
    <n v="75"/>
    <n v="302"/>
    <n v="500"/>
    <n v="0.60399999999999998"/>
    <n v="0.39600000000000002"/>
  </r>
  <r>
    <s v="Emp_126"/>
    <x v="120"/>
    <x v="5"/>
    <n v="41"/>
    <n v="66"/>
    <n v="48"/>
    <n v="70"/>
    <n v="48"/>
    <n v="273"/>
    <n v="500"/>
    <n v="0.54600000000000004"/>
    <n v="0.45399999999999996"/>
  </r>
  <r>
    <s v="Emp_127"/>
    <x v="121"/>
    <x v="6"/>
    <n v="60"/>
    <n v="92"/>
    <n v="32"/>
    <n v="60"/>
    <n v="78"/>
    <n v="322"/>
    <n v="500"/>
    <n v="0.64400000000000002"/>
    <n v="0.35599999999999998"/>
  </r>
  <r>
    <s v="Emp_128"/>
    <x v="122"/>
    <x v="7"/>
    <n v="42"/>
    <n v="24"/>
    <n v="19"/>
    <n v="82"/>
    <n v="16"/>
    <n v="183"/>
    <n v="500"/>
    <n v="0.36599999999999999"/>
    <n v="0.63400000000000001"/>
  </r>
  <r>
    <s v="Emp_129"/>
    <x v="30"/>
    <x v="0"/>
    <n v="26"/>
    <n v="85"/>
    <n v="75"/>
    <n v="83"/>
    <n v="37"/>
    <n v="306"/>
    <n v="500"/>
    <n v="0.61199999999999999"/>
    <n v="0.38800000000000001"/>
  </r>
  <r>
    <s v="Emp_130"/>
    <x v="123"/>
    <x v="1"/>
    <n v="81"/>
    <n v="68"/>
    <n v="74"/>
    <n v="72"/>
    <n v="12"/>
    <n v="307"/>
    <n v="500"/>
    <n v="0.61399999999999999"/>
    <n v="0.38600000000000001"/>
  </r>
  <r>
    <s v="Emp_131"/>
    <x v="124"/>
    <x v="2"/>
    <n v="90"/>
    <n v="79"/>
    <n v="99"/>
    <n v="60"/>
    <n v="27"/>
    <n v="355"/>
    <n v="500"/>
    <n v="0.71"/>
    <n v="0.29000000000000004"/>
  </r>
  <r>
    <s v="Emp_132"/>
    <x v="125"/>
    <x v="3"/>
    <n v="71"/>
    <n v="21"/>
    <n v="70"/>
    <n v="53"/>
    <n v="49"/>
    <n v="264"/>
    <n v="500"/>
    <n v="0.52800000000000002"/>
    <n v="0.47199999999999998"/>
  </r>
  <r>
    <s v="Emp_133"/>
    <x v="126"/>
    <x v="4"/>
    <n v="86"/>
    <n v="60"/>
    <n v="59"/>
    <n v="51"/>
    <n v="90"/>
    <n v="346"/>
    <n v="500"/>
    <n v="0.69199999999999995"/>
    <n v="0.30800000000000005"/>
  </r>
  <r>
    <s v="Emp_134"/>
    <x v="127"/>
    <x v="5"/>
    <n v="68"/>
    <n v="61"/>
    <n v="12"/>
    <n v="41"/>
    <n v="35"/>
    <n v="217"/>
    <n v="500"/>
    <n v="0.434"/>
    <n v="0.56600000000000006"/>
  </r>
  <r>
    <s v="Emp_135"/>
    <x v="128"/>
    <x v="6"/>
    <n v="65"/>
    <n v="34"/>
    <n v="15"/>
    <n v="86"/>
    <n v="71"/>
    <n v="271"/>
    <n v="500"/>
    <n v="0.54200000000000004"/>
    <n v="0.45799999999999996"/>
  </r>
  <r>
    <s v="Emp_136"/>
    <x v="129"/>
    <x v="7"/>
    <n v="91"/>
    <n v="21"/>
    <n v="59"/>
    <n v="85"/>
    <n v="60"/>
    <n v="316"/>
    <n v="500"/>
    <n v="0.63200000000000001"/>
    <n v="0.36799999999999999"/>
  </r>
  <r>
    <s v="Emp_137"/>
    <x v="31"/>
    <x v="0"/>
    <n v="73"/>
    <n v="43"/>
    <n v="22"/>
    <n v="56"/>
    <n v="43"/>
    <n v="237"/>
    <n v="500"/>
    <n v="0.47399999999999998"/>
    <n v="0.52600000000000002"/>
  </r>
  <r>
    <s v="Emp_138"/>
    <x v="130"/>
    <x v="1"/>
    <n v="72"/>
    <n v="49"/>
    <n v="93"/>
    <n v="95"/>
    <n v="73"/>
    <n v="382"/>
    <n v="500"/>
    <n v="0.76400000000000001"/>
    <n v="0.23599999999999999"/>
  </r>
  <r>
    <s v="Emp_139"/>
    <x v="131"/>
    <x v="2"/>
    <n v="85"/>
    <n v="43"/>
    <n v="74"/>
    <n v="26"/>
    <n v="88"/>
    <n v="316"/>
    <n v="500"/>
    <n v="0.63200000000000001"/>
    <n v="0.36799999999999999"/>
  </r>
  <r>
    <s v="Emp_140"/>
    <x v="132"/>
    <x v="3"/>
    <n v="77"/>
    <n v="81"/>
    <n v="10"/>
    <n v="65"/>
    <n v="83"/>
    <n v="316"/>
    <n v="500"/>
    <n v="0.63200000000000001"/>
    <n v="0.36799999999999999"/>
  </r>
  <r>
    <s v="Emp_141"/>
    <x v="133"/>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961A1F0-5580-49A4-866F-A2B8D96CA4F2}" name="PivotTable2" cacheId="36"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1" rowHeaderCaption="Sales Executives">
  <location ref="A3:B8" firstHeaderRow="1" firstDataRow="1" firstDataCol="1"/>
  <pivotFields count="12">
    <pivotField showAll="0"/>
    <pivotField axis="axisRow" showAll="0" measureFilter="1" sortType="descending">
      <items count="276">
        <item m="1" x="274"/>
        <item m="1" x="273"/>
        <item m="1" x="272"/>
        <item m="1" x="271"/>
        <item m="1" x="270"/>
        <item m="1" x="269"/>
        <item m="1" x="268"/>
        <item m="1" x="267"/>
        <item m="1" x="266"/>
        <item m="1" x="265"/>
        <item m="1" x="264"/>
        <item m="1" x="263"/>
        <item m="1" x="262"/>
        <item m="1" x="138"/>
        <item m="1" x="261"/>
        <item m="1" x="136"/>
        <item m="1" x="260"/>
        <item m="1" x="259"/>
        <item m="1" x="258"/>
        <item m="1" x="257"/>
        <item m="1" x="256"/>
        <item m="1" x="255"/>
        <item m="1" x="254"/>
        <item m="1" x="253"/>
        <item m="1" x="252"/>
        <item m="1" x="251"/>
        <item m="1" x="250"/>
        <item m="1" x="249"/>
        <item m="1" x="248"/>
        <item m="1" x="247"/>
        <item m="1" x="246"/>
        <item m="1" x="245"/>
        <item m="1" x="244"/>
        <item m="1" x="243"/>
        <item m="1" x="242"/>
        <item m="1" x="241"/>
        <item m="1" x="240"/>
        <item m="1" x="239"/>
        <item m="1" x="238"/>
        <item m="1" x="237"/>
        <item m="1" x="236"/>
        <item m="1" x="235"/>
        <item m="1" x="234"/>
        <item m="1" x="233"/>
        <item m="1" x="232"/>
        <item m="1" x="231"/>
        <item m="1" x="230"/>
        <item m="1" x="229"/>
        <item m="1" x="228"/>
        <item m="1" x="227"/>
        <item m="1" x="226"/>
        <item m="1" x="225"/>
        <item m="1" x="224"/>
        <item m="1" x="223"/>
        <item m="1" x="222"/>
        <item m="1" x="221"/>
        <item m="1" x="220"/>
        <item m="1" x="219"/>
        <item m="1" x="218"/>
        <item m="1" x="217"/>
        <item m="1" x="216"/>
        <item m="1" x="215"/>
        <item m="1" x="214"/>
        <item m="1" x="213"/>
        <item m="1" x="212"/>
        <item m="1" x="211"/>
        <item m="1" x="210"/>
        <item m="1" x="209"/>
        <item m="1" x="208"/>
        <item m="1" x="207"/>
        <item m="1" x="206"/>
        <item m="1" x="205"/>
        <item m="1" x="204"/>
        <item m="1" x="203"/>
        <item m="1" x="202"/>
        <item m="1" x="201"/>
        <item m="1" x="200"/>
        <item m="1" x="199"/>
        <item m="1" x="198"/>
        <item m="1" x="197"/>
        <item m="1" x="196"/>
        <item m="1" x="195"/>
        <item m="1" x="134"/>
        <item m="1" x="194"/>
        <item m="1" x="193"/>
        <item m="1" x="192"/>
        <item m="1" x="191"/>
        <item m="1" x="190"/>
        <item m="1" x="189"/>
        <item m="1" x="188"/>
        <item m="1" x="187"/>
        <item m="1" x="186"/>
        <item m="1" x="185"/>
        <item m="1" x="184"/>
        <item m="1" x="183"/>
        <item m="1" x="182"/>
        <item m="1" x="181"/>
        <item m="1" x="180"/>
        <item m="1" x="179"/>
        <item m="1" x="178"/>
        <item m="1" x="177"/>
        <item m="1" x="176"/>
        <item m="1" x="175"/>
        <item m="1" x="174"/>
        <item m="1" x="173"/>
        <item m="1" x="172"/>
        <item m="1" x="171"/>
        <item m="1" x="170"/>
        <item m="1" x="169"/>
        <item m="1" x="168"/>
        <item m="1" x="167"/>
        <item m="1" x="166"/>
        <item m="1" x="165"/>
        <item m="1" x="164"/>
        <item m="1" x="163"/>
        <item m="1" x="162"/>
        <item m="1" x="161"/>
        <item m="1" x="160"/>
        <item m="1" x="159"/>
        <item m="1" x="158"/>
        <item m="1" x="157"/>
        <item m="1" x="156"/>
        <item m="1" x="155"/>
        <item m="1" x="154"/>
        <item m="1" x="153"/>
        <item m="1" x="152"/>
        <item m="1" x="151"/>
        <item m="1" x="150"/>
        <item m="1" x="149"/>
        <item m="1" x="148"/>
        <item m="1" x="147"/>
        <item m="1" x="146"/>
        <item m="1" x="145"/>
        <item m="1" x="144"/>
        <item m="1" x="143"/>
        <item m="1" x="142"/>
        <item m="1" x="141"/>
        <item m="1" x="140"/>
        <item m="1" x="139"/>
        <item m="1" x="137"/>
        <item m="1" x="1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t="default"/>
      </items>
      <autoSortScope>
        <pivotArea dataOnly="0" outline="0" fieldPosition="0">
          <references count="1">
            <reference field="4294967294" count="1" selected="0">
              <x v="0"/>
            </reference>
          </references>
        </pivotArea>
      </autoSortScope>
    </pivotField>
    <pivotField showAll="0">
      <items count="9">
        <item h="1" x="3"/>
        <item h="1" x="2"/>
        <item x="0"/>
        <item h="1" x="1"/>
        <item h="1" x="5"/>
        <item h="1" x="7"/>
        <item h="1" x="6"/>
        <item h="1" x="4"/>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5">
    <i>
      <x v="231"/>
    </i>
    <i>
      <x v="171"/>
    </i>
    <i>
      <x v="150"/>
    </i>
    <i>
      <x v="142"/>
    </i>
    <i>
      <x v="149"/>
    </i>
  </rowItems>
  <colItems count="1">
    <i/>
  </colItems>
  <dataFields count="1">
    <dataField name=" Total_Sales" fld="8" baseField="1" baseItem="142"/>
  </dataFields>
  <formats count="6">
    <format dxfId="24">
      <pivotArea field="1" type="button" dataOnly="0" labelOnly="1" outline="0" axis="axisRow" fieldPosition="0"/>
    </format>
    <format dxfId="25">
      <pivotArea dataOnly="0" labelOnly="1" outline="0" axis="axisValues" fieldPosition="0"/>
    </format>
    <format dxfId="26">
      <pivotArea field="1" type="button" dataOnly="0" labelOnly="1" outline="0" axis="axisRow" fieldPosition="0"/>
    </format>
    <format dxfId="27">
      <pivotArea dataOnly="0" labelOnly="1" outline="0" axis="axisValues" fieldPosition="0"/>
    </format>
    <format dxfId="28">
      <pivotArea collapsedLevelsAreSubtotals="1" fieldPosition="0">
        <references count="1">
          <reference field="1" count="1">
            <x v="172"/>
          </reference>
        </references>
      </pivotArea>
    </format>
    <format dxfId="29">
      <pivotArea dataOnly="0" labelOnly="1" fieldPosition="0">
        <references count="1">
          <reference field="1" count="1">
            <x v="172"/>
          </reference>
        </references>
      </pivotArea>
    </format>
  </formats>
  <chartFormats count="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172"/>
          </reference>
        </references>
      </pivotArea>
    </chartFormat>
  </chartFormats>
  <pivotTableStyleInfo name="PivotStyleDark14"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9FAA6D6-AFC6-4CD0-87F5-AE4906FAB0E2}" name="PivotTable1" cacheId="36"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s">
  <location ref="D3:E8" firstHeaderRow="1" firstDataRow="1" firstDataCol="1"/>
  <pivotFields count="12">
    <pivotField showAll="0"/>
    <pivotField axis="axisRow" showAll="0" measureFilter="1" sortType="ascending">
      <items count="276">
        <item m="1" x="274"/>
        <item m="1" x="273"/>
        <item m="1" x="272"/>
        <item m="1" x="271"/>
        <item m="1" x="270"/>
        <item m="1" x="269"/>
        <item m="1" x="268"/>
        <item m="1" x="267"/>
        <item m="1" x="266"/>
        <item m="1" x="265"/>
        <item m="1" x="264"/>
        <item m="1" x="263"/>
        <item m="1" x="262"/>
        <item m="1" x="138"/>
        <item m="1" x="261"/>
        <item m="1" x="136"/>
        <item m="1" x="260"/>
        <item m="1" x="259"/>
        <item m="1" x="258"/>
        <item m="1" x="257"/>
        <item m="1" x="256"/>
        <item m="1" x="255"/>
        <item m="1" x="254"/>
        <item m="1" x="253"/>
        <item m="1" x="252"/>
        <item m="1" x="251"/>
        <item m="1" x="250"/>
        <item m="1" x="249"/>
        <item m="1" x="248"/>
        <item m="1" x="247"/>
        <item m="1" x="246"/>
        <item m="1" x="245"/>
        <item m="1" x="244"/>
        <item m="1" x="243"/>
        <item m="1" x="242"/>
        <item m="1" x="241"/>
        <item m="1" x="240"/>
        <item m="1" x="239"/>
        <item m="1" x="238"/>
        <item m="1" x="237"/>
        <item m="1" x="236"/>
        <item m="1" x="235"/>
        <item m="1" x="234"/>
        <item m="1" x="233"/>
        <item m="1" x="232"/>
        <item m="1" x="231"/>
        <item m="1" x="230"/>
        <item m="1" x="229"/>
        <item m="1" x="228"/>
        <item m="1" x="227"/>
        <item m="1" x="226"/>
        <item m="1" x="225"/>
        <item m="1" x="224"/>
        <item m="1" x="223"/>
        <item m="1" x="222"/>
        <item m="1" x="221"/>
        <item m="1" x="220"/>
        <item m="1" x="219"/>
        <item m="1" x="218"/>
        <item m="1" x="217"/>
        <item m="1" x="216"/>
        <item m="1" x="215"/>
        <item m="1" x="214"/>
        <item m="1" x="213"/>
        <item m="1" x="212"/>
        <item m="1" x="211"/>
        <item m="1" x="210"/>
        <item m="1" x="209"/>
        <item m="1" x="208"/>
        <item m="1" x="207"/>
        <item m="1" x="206"/>
        <item m="1" x="205"/>
        <item m="1" x="204"/>
        <item m="1" x="203"/>
        <item m="1" x="202"/>
        <item m="1" x="201"/>
        <item m="1" x="200"/>
        <item m="1" x="199"/>
        <item m="1" x="198"/>
        <item m="1" x="197"/>
        <item m="1" x="196"/>
        <item m="1" x="195"/>
        <item m="1" x="134"/>
        <item m="1" x="194"/>
        <item m="1" x="193"/>
        <item m="1" x="192"/>
        <item m="1" x="191"/>
        <item m="1" x="190"/>
        <item m="1" x="189"/>
        <item m="1" x="188"/>
        <item m="1" x="187"/>
        <item m="1" x="186"/>
        <item m="1" x="185"/>
        <item m="1" x="184"/>
        <item m="1" x="183"/>
        <item m="1" x="182"/>
        <item m="1" x="181"/>
        <item m="1" x="180"/>
        <item m="1" x="179"/>
        <item m="1" x="178"/>
        <item m="1" x="177"/>
        <item m="1" x="176"/>
        <item m="1" x="175"/>
        <item m="1" x="174"/>
        <item m="1" x="173"/>
        <item m="1" x="172"/>
        <item m="1" x="171"/>
        <item m="1" x="170"/>
        <item m="1" x="169"/>
        <item m="1" x="168"/>
        <item m="1" x="167"/>
        <item m="1" x="166"/>
        <item m="1" x="165"/>
        <item m="1" x="164"/>
        <item m="1" x="163"/>
        <item m="1" x="162"/>
        <item m="1" x="161"/>
        <item m="1" x="160"/>
        <item m="1" x="159"/>
        <item m="1" x="158"/>
        <item m="1" x="157"/>
        <item m="1" x="156"/>
        <item m="1" x="155"/>
        <item m="1" x="154"/>
        <item m="1" x="153"/>
        <item m="1" x="152"/>
        <item m="1" x="151"/>
        <item m="1" x="150"/>
        <item m="1" x="149"/>
        <item m="1" x="148"/>
        <item m="1" x="147"/>
        <item m="1" x="146"/>
        <item m="1" x="145"/>
        <item m="1" x="144"/>
        <item m="1" x="143"/>
        <item m="1" x="142"/>
        <item m="1" x="141"/>
        <item m="1" x="140"/>
        <item m="1" x="139"/>
        <item m="1" x="137"/>
        <item m="1" x="1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t="default"/>
      </items>
      <autoSortScope>
        <pivotArea dataOnly="0" outline="0" fieldPosition="0">
          <references count="1">
            <reference field="4294967294" count="1" selected="0">
              <x v="0"/>
            </reference>
          </references>
        </pivotArea>
      </autoSortScope>
    </pivotField>
    <pivotField showAll="0">
      <items count="9">
        <item h="1" x="3"/>
        <item x="2"/>
        <item h="1" x="0"/>
        <item h="1" x="1"/>
        <item h="1" x="5"/>
        <item h="1" x="7"/>
        <item h="1" x="6"/>
        <item h="1" x="4"/>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5">
    <i>
      <x v="213"/>
    </i>
    <i>
      <x v="211"/>
    </i>
    <i>
      <x v="253"/>
    </i>
    <i>
      <x v="206"/>
    </i>
    <i>
      <x v="209"/>
    </i>
  </rowItems>
  <colItems count="1">
    <i/>
  </colItems>
  <dataFields count="1">
    <dataField name=" Total_Sales" fld="8" baseField="1" baseItem="142"/>
  </dataFields>
  <formats count="4">
    <format dxfId="33">
      <pivotArea field="1" type="button" dataOnly="0" labelOnly="1" outline="0" axis="axisRow" fieldPosition="0"/>
    </format>
    <format dxfId="32">
      <pivotArea dataOnly="0" labelOnly="1" outline="0" axis="axisValues" fieldPosition="0"/>
    </format>
    <format dxfId="31">
      <pivotArea field="1" type="button" dataOnly="0" labelOnly="1" outline="0" axis="axisRow" fieldPosition="0"/>
    </format>
    <format dxfId="30">
      <pivotArea dataOnly="0" labelOnly="1" outline="0" axis="axisValues" fieldPosition="0"/>
    </format>
  </formats>
  <pivotTableStyleInfo name="PivotStyleDark14"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65BF407-581C-4BA4-9608-4636B8233D1F}" name="PivotTable5" cacheId="36"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7" rowHeaderCaption="Sales Executives">
  <location ref="J3:K8" firstHeaderRow="1" firstDataRow="1" firstDataCol="1"/>
  <pivotFields count="12">
    <pivotField showAll="0"/>
    <pivotField axis="axisRow" showAll="0" measureFilter="1">
      <items count="276">
        <item x="39"/>
        <item x="77"/>
        <item m="1" x="274"/>
        <item x="129"/>
        <item x="92"/>
        <item x="48"/>
        <item x="108"/>
        <item x="26"/>
        <item x="81"/>
        <item m="1" x="273"/>
        <item x="0"/>
        <item x="52"/>
        <item x="13"/>
        <item x="70"/>
        <item x="35"/>
        <item x="116"/>
        <item x="11"/>
        <item x="99"/>
        <item m="1" x="272"/>
        <item m="1" x="271"/>
        <item m="1" x="270"/>
        <item m="1" x="269"/>
        <item m="1" x="268"/>
        <item m="1" x="267"/>
        <item m="1" x="266"/>
        <item m="1" x="265"/>
        <item m="1" x="264"/>
        <item m="1" x="263"/>
        <item m="1" x="262"/>
        <item m="1" x="138"/>
        <item x="79"/>
        <item m="1" x="261"/>
        <item m="1" x="136"/>
        <item m="1" x="260"/>
        <item m="1" x="259"/>
        <item m="1" x="258"/>
        <item x="38"/>
        <item m="1" x="257"/>
        <item x="123"/>
        <item x="1"/>
        <item m="1" x="256"/>
        <item x="50"/>
        <item m="1" x="255"/>
        <item x="65"/>
        <item x="119"/>
        <item x="8"/>
        <item m="1" x="254"/>
        <item m="1" x="253"/>
        <item m="1" x="252"/>
        <item m="1" x="251"/>
        <item m="1" x="250"/>
        <item x="63"/>
        <item x="112"/>
        <item x="30"/>
        <item x="89"/>
        <item x="47"/>
        <item x="104"/>
        <item x="20"/>
        <item x="74"/>
        <item x="3"/>
        <item x="83"/>
        <item x="33"/>
        <item m="1" x="249"/>
        <item x="61"/>
        <item x="110"/>
        <item x="4"/>
        <item m="1" x="248"/>
        <item x="80"/>
        <item x="122"/>
        <item x="27"/>
        <item x="97"/>
        <item x="41"/>
        <item x="95"/>
        <item x="6"/>
        <item x="34"/>
        <item m="1" x="247"/>
        <item m="1" x="246"/>
        <item m="1" x="245"/>
        <item m="1" x="244"/>
        <item m="1" x="243"/>
        <item x="18"/>
        <item x="98"/>
        <item m="1" x="242"/>
        <item m="1" x="241"/>
        <item m="1" x="240"/>
        <item x="113"/>
        <item x="75"/>
        <item m="1" x="239"/>
        <item m="1" x="238"/>
        <item m="1" x="237"/>
        <item m="1" x="236"/>
        <item m="1" x="235"/>
        <item m="1" x="234"/>
        <item x="16"/>
        <item m="1" x="233"/>
        <item x="101"/>
        <item x="67"/>
        <item m="1" x="232"/>
        <item m="1" x="231"/>
        <item m="1" x="230"/>
        <item m="1" x="229"/>
        <item x="23"/>
        <item m="1" x="228"/>
        <item m="1" x="227"/>
        <item x="55"/>
        <item m="1" x="226"/>
        <item m="1" x="225"/>
        <item m="1" x="224"/>
        <item m="1" x="223"/>
        <item m="1" x="222"/>
        <item x="105"/>
        <item x="58"/>
        <item x="128"/>
        <item x="19"/>
        <item m="1" x="221"/>
        <item m="1" x="220"/>
        <item m="1" x="219"/>
        <item m="1" x="218"/>
        <item m="1" x="217"/>
        <item m="1" x="216"/>
        <item m="1" x="215"/>
        <item m="1" x="214"/>
        <item x="46"/>
        <item x="127"/>
        <item x="24"/>
        <item m="1" x="213"/>
        <item m="1" x="212"/>
        <item x="106"/>
        <item x="59"/>
        <item m="1" x="211"/>
        <item m="1" x="210"/>
        <item x="93"/>
        <item x="82"/>
        <item m="1" x="209"/>
        <item m="1" x="208"/>
        <item x="32"/>
        <item x="111"/>
        <item x="68"/>
        <item x="7"/>
        <item m="1" x="207"/>
        <item x="102"/>
        <item x="124"/>
        <item x="2"/>
        <item m="1" x="206"/>
        <item x="73"/>
        <item m="1" x="205"/>
        <item m="1" x="204"/>
        <item m="1" x="203"/>
        <item m="1" x="202"/>
        <item m="1" x="201"/>
        <item m="1" x="200"/>
        <item m="1" x="199"/>
        <item x="31"/>
        <item x="64"/>
        <item x="88"/>
        <item x="15"/>
        <item m="1" x="198"/>
        <item m="1" x="197"/>
        <item m="1" x="196"/>
        <item m="1" x="195"/>
        <item m="1" x="134"/>
        <item m="1" x="194"/>
        <item m="1" x="193"/>
        <item m="1" x="192"/>
        <item m="1" x="191"/>
        <item m="1" x="190"/>
        <item m="1" x="189"/>
        <item m="1" x="188"/>
        <item m="1" x="187"/>
        <item m="1" x="186"/>
        <item m="1" x="185"/>
        <item x="53"/>
        <item m="1" x="184"/>
        <item x="126"/>
        <item x="76"/>
        <item x="45"/>
        <item m="1" x="183"/>
        <item x="22"/>
        <item m="1" x="182"/>
        <item m="1" x="181"/>
        <item m="1" x="180"/>
        <item x="36"/>
        <item m="1" x="179"/>
        <item m="1" x="178"/>
        <item m="1" x="177"/>
        <item m="1" x="176"/>
        <item x="54"/>
        <item m="1" x="175"/>
        <item x="69"/>
        <item x="121"/>
        <item m="1" x="174"/>
        <item m="1" x="173"/>
        <item m="1" x="172"/>
        <item m="1" x="171"/>
        <item x="94"/>
        <item x="114"/>
        <item x="60"/>
        <item x="43"/>
        <item x="103"/>
        <item x="84"/>
        <item x="56"/>
        <item x="120"/>
        <item x="90"/>
        <item x="17"/>
        <item x="29"/>
        <item x="125"/>
        <item x="66"/>
        <item x="133"/>
        <item x="49"/>
        <item x="28"/>
        <item x="86"/>
        <item m="1" x="170"/>
        <item m="1" x="169"/>
        <item x="12"/>
        <item x="118"/>
        <item x="9"/>
        <item x="131"/>
        <item x="107"/>
        <item x="72"/>
        <item x="51"/>
        <item m="1" x="168"/>
        <item m="1" x="167"/>
        <item m="1" x="166"/>
        <item m="1" x="165"/>
        <item m="1" x="164"/>
        <item m="1" x="163"/>
        <item x="117"/>
        <item x="85"/>
        <item x="40"/>
        <item m="1" x="162"/>
        <item m="1" x="161"/>
        <item m="1" x="160"/>
        <item m="1" x="159"/>
        <item x="62"/>
        <item m="1" x="158"/>
        <item m="1" x="157"/>
        <item m="1" x="156"/>
        <item m="1" x="155"/>
        <item m="1" x="154"/>
        <item x="78"/>
        <item m="1" x="153"/>
        <item x="37"/>
        <item m="1" x="152"/>
        <item m="1" x="151"/>
        <item m="1" x="150"/>
        <item m="1" x="149"/>
        <item x="25"/>
        <item m="1" x="148"/>
        <item m="1" x="147"/>
        <item m="1" x="146"/>
        <item m="1" x="145"/>
        <item m="1" x="144"/>
        <item m="1" x="143"/>
        <item m="1" x="142"/>
        <item m="1" x="141"/>
        <item m="1" x="140"/>
        <item m="1" x="139"/>
        <item x="71"/>
        <item m="1" x="137"/>
        <item m="1" x="135"/>
        <item x="132"/>
        <item x="14"/>
        <item x="96"/>
        <item x="115"/>
        <item x="130"/>
        <item x="91"/>
        <item x="44"/>
        <item x="10"/>
        <item x="87"/>
        <item x="109"/>
        <item x="5"/>
        <item x="57"/>
        <item x="21"/>
        <item x="42"/>
        <item x="100"/>
        <item t="default"/>
      </items>
    </pivotField>
    <pivotField showAll="0">
      <items count="9">
        <item h="1" x="3"/>
        <item h="1" x="2"/>
        <item h="1" x="0"/>
        <item h="1" x="1"/>
        <item x="5"/>
        <item h="1" x="7"/>
        <item h="1" x="6"/>
        <item h="1" x="4"/>
        <item t="default"/>
      </items>
    </pivotField>
    <pivotField showAll="0"/>
    <pivotField showAll="0"/>
    <pivotField showAll="0"/>
    <pivotField showAll="0"/>
    <pivotField showAll="0"/>
    <pivotField showAll="0"/>
    <pivotField numFmtId="10" showAll="0"/>
    <pivotField dataField="1" showAll="0"/>
    <pivotField showAll="0"/>
  </pivotFields>
  <rowFields count="1">
    <field x="1"/>
  </rowFields>
  <rowItems count="5">
    <i>
      <x v="4"/>
    </i>
    <i>
      <x v="123"/>
    </i>
    <i>
      <x v="152"/>
    </i>
    <i>
      <x v="171"/>
    </i>
    <i>
      <x v="227"/>
    </i>
  </rowItems>
  <colItems count="1">
    <i/>
  </colItems>
  <dataFields count="1">
    <dataField name="Away from Target" fld="10" baseField="1" baseItem="13" numFmtId="10"/>
  </dataFields>
  <formats count="4">
    <format dxfId="37">
      <pivotArea field="1" type="button" dataOnly="0" labelOnly="1" outline="0" axis="axisRow" fieldPosition="0"/>
    </format>
    <format dxfId="36">
      <pivotArea dataOnly="0" labelOnly="1" outline="0" axis="axisValues" fieldPosition="0"/>
    </format>
    <format dxfId="35">
      <pivotArea field="1" type="button" dataOnly="0" labelOnly="1" outline="0" axis="axisRow" fieldPosition="0"/>
    </format>
    <format dxfId="34">
      <pivotArea dataOnly="0" labelOnly="1" outline="0" axis="axisValues" fieldPosition="0"/>
    </format>
  </formats>
  <chartFormats count="5">
    <chartFormat chart="2" format="1" series="1">
      <pivotArea type="data" outline="0" fieldPosition="0">
        <references count="1">
          <reference field="4294967294" count="1" selected="0">
            <x v="0"/>
          </reference>
        </references>
      </pivotArea>
    </chartFormat>
    <chartFormat chart="3" format="0"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1" count="1" selected="0">
            <x v="218"/>
          </reference>
        </references>
      </pivotArea>
    </chartFormat>
    <chartFormat chart="12" format="4" series="1">
      <pivotArea type="data" outline="0" fieldPosition="0">
        <references count="1">
          <reference field="4294967294" count="1" selected="0">
            <x v="0"/>
          </reference>
        </references>
      </pivotArea>
    </chartFormat>
    <chartFormat chart="13" format="0" series="1">
      <pivotArea type="data" outline="0" fieldPosition="0">
        <references count="1">
          <reference field="4294967294" count="1" selected="0">
            <x v="0"/>
          </reference>
        </references>
      </pivotArea>
    </chartFormat>
  </chartFormats>
  <pivotTableStyleInfo name="PivotStyleDark14"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93F6043-1DAB-45F7-A8AA-CE450E3082D1}" name="PivotTable4" cacheId="36"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9" rowHeaderCaption="Sales Executives">
  <location ref="G3:H8" firstHeaderRow="1" firstDataRow="1" firstDataCol="1"/>
  <pivotFields count="12">
    <pivotField showAll="0"/>
    <pivotField axis="axisRow" showAll="0" measureFilter="1">
      <items count="276">
        <item x="39"/>
        <item x="77"/>
        <item m="1" x="274"/>
        <item x="129"/>
        <item x="92"/>
        <item x="48"/>
        <item x="108"/>
        <item x="26"/>
        <item x="81"/>
        <item m="1" x="273"/>
        <item x="0"/>
        <item x="52"/>
        <item x="13"/>
        <item x="70"/>
        <item x="35"/>
        <item x="116"/>
        <item x="11"/>
        <item x="99"/>
        <item m="1" x="272"/>
        <item m="1" x="271"/>
        <item m="1" x="270"/>
        <item m="1" x="269"/>
        <item m="1" x="268"/>
        <item m="1" x="267"/>
        <item m="1" x="266"/>
        <item m="1" x="265"/>
        <item m="1" x="264"/>
        <item m="1" x="263"/>
        <item m="1" x="262"/>
        <item m="1" x="138"/>
        <item x="79"/>
        <item m="1" x="261"/>
        <item m="1" x="136"/>
        <item m="1" x="260"/>
        <item m="1" x="259"/>
        <item m="1" x="258"/>
        <item x="38"/>
        <item m="1" x="257"/>
        <item x="123"/>
        <item x="1"/>
        <item m="1" x="256"/>
        <item x="50"/>
        <item m="1" x="255"/>
        <item x="65"/>
        <item x="119"/>
        <item x="8"/>
        <item m="1" x="254"/>
        <item m="1" x="253"/>
        <item m="1" x="252"/>
        <item m="1" x="251"/>
        <item m="1" x="250"/>
        <item x="63"/>
        <item x="112"/>
        <item x="30"/>
        <item x="89"/>
        <item x="47"/>
        <item x="104"/>
        <item x="20"/>
        <item x="74"/>
        <item x="3"/>
        <item x="83"/>
        <item x="33"/>
        <item m="1" x="249"/>
        <item x="61"/>
        <item x="110"/>
        <item x="4"/>
        <item m="1" x="248"/>
        <item x="80"/>
        <item x="122"/>
        <item x="27"/>
        <item x="97"/>
        <item x="41"/>
        <item x="95"/>
        <item x="6"/>
        <item x="34"/>
        <item m="1" x="247"/>
        <item m="1" x="246"/>
        <item m="1" x="245"/>
        <item m="1" x="244"/>
        <item m="1" x="243"/>
        <item x="18"/>
        <item x="98"/>
        <item m="1" x="242"/>
        <item m="1" x="241"/>
        <item m="1" x="240"/>
        <item x="113"/>
        <item x="75"/>
        <item m="1" x="239"/>
        <item m="1" x="238"/>
        <item m="1" x="237"/>
        <item m="1" x="236"/>
        <item m="1" x="235"/>
        <item m="1" x="234"/>
        <item x="16"/>
        <item m="1" x="233"/>
        <item x="101"/>
        <item x="67"/>
        <item m="1" x="232"/>
        <item m="1" x="231"/>
        <item m="1" x="230"/>
        <item m="1" x="229"/>
        <item x="23"/>
        <item m="1" x="228"/>
        <item m="1" x="227"/>
        <item x="55"/>
        <item m="1" x="226"/>
        <item m="1" x="225"/>
        <item m="1" x="224"/>
        <item m="1" x="223"/>
        <item m="1" x="222"/>
        <item x="105"/>
        <item x="58"/>
        <item x="128"/>
        <item x="19"/>
        <item m="1" x="221"/>
        <item m="1" x="220"/>
        <item m="1" x="219"/>
        <item m="1" x="218"/>
        <item m="1" x="217"/>
        <item m="1" x="216"/>
        <item m="1" x="215"/>
        <item m="1" x="214"/>
        <item x="46"/>
        <item x="127"/>
        <item x="24"/>
        <item m="1" x="213"/>
        <item m="1" x="212"/>
        <item x="106"/>
        <item x="59"/>
        <item m="1" x="211"/>
        <item m="1" x="210"/>
        <item x="93"/>
        <item x="82"/>
        <item m="1" x="209"/>
        <item m="1" x="208"/>
        <item x="32"/>
        <item x="111"/>
        <item x="68"/>
        <item x="7"/>
        <item m="1" x="207"/>
        <item x="102"/>
        <item x="124"/>
        <item x="2"/>
        <item m="1" x="206"/>
        <item x="73"/>
        <item m="1" x="205"/>
        <item m="1" x="204"/>
        <item m="1" x="203"/>
        <item m="1" x="202"/>
        <item m="1" x="201"/>
        <item m="1" x="200"/>
        <item m="1" x="199"/>
        <item x="31"/>
        <item x="64"/>
        <item x="88"/>
        <item x="15"/>
        <item m="1" x="198"/>
        <item m="1" x="197"/>
        <item m="1" x="196"/>
        <item m="1" x="195"/>
        <item m="1" x="134"/>
        <item m="1" x="194"/>
        <item m="1" x="193"/>
        <item m="1" x="192"/>
        <item m="1" x="191"/>
        <item m="1" x="190"/>
        <item m="1" x="189"/>
        <item m="1" x="188"/>
        <item m="1" x="187"/>
        <item m="1" x="186"/>
        <item m="1" x="185"/>
        <item x="53"/>
        <item m="1" x="184"/>
        <item x="126"/>
        <item x="76"/>
        <item x="45"/>
        <item m="1" x="183"/>
        <item x="22"/>
        <item m="1" x="182"/>
        <item m="1" x="181"/>
        <item m="1" x="180"/>
        <item x="36"/>
        <item m="1" x="179"/>
        <item m="1" x="178"/>
        <item m="1" x="177"/>
        <item m="1" x="176"/>
        <item x="54"/>
        <item m="1" x="175"/>
        <item x="69"/>
        <item x="121"/>
        <item m="1" x="174"/>
        <item m="1" x="173"/>
        <item m="1" x="172"/>
        <item m="1" x="171"/>
        <item x="94"/>
        <item x="114"/>
        <item x="60"/>
        <item x="43"/>
        <item x="103"/>
        <item x="84"/>
        <item x="56"/>
        <item x="120"/>
        <item x="90"/>
        <item x="17"/>
        <item x="29"/>
        <item x="125"/>
        <item x="66"/>
        <item x="133"/>
        <item x="49"/>
        <item x="28"/>
        <item x="86"/>
        <item m="1" x="170"/>
        <item m="1" x="169"/>
        <item x="12"/>
        <item x="118"/>
        <item x="9"/>
        <item x="131"/>
        <item x="107"/>
        <item x="72"/>
        <item x="51"/>
        <item m="1" x="168"/>
        <item m="1" x="167"/>
        <item m="1" x="166"/>
        <item m="1" x="165"/>
        <item m="1" x="164"/>
        <item m="1" x="163"/>
        <item x="117"/>
        <item x="85"/>
        <item x="40"/>
        <item m="1" x="162"/>
        <item m="1" x="161"/>
        <item m="1" x="160"/>
        <item m="1" x="159"/>
        <item x="62"/>
        <item m="1" x="158"/>
        <item m="1" x="157"/>
        <item m="1" x="156"/>
        <item m="1" x="155"/>
        <item m="1" x="154"/>
        <item x="78"/>
        <item m="1" x="153"/>
        <item x="37"/>
        <item m="1" x="152"/>
        <item m="1" x="151"/>
        <item m="1" x="150"/>
        <item m="1" x="149"/>
        <item x="25"/>
        <item m="1" x="148"/>
        <item m="1" x="147"/>
        <item m="1" x="146"/>
        <item m="1" x="145"/>
        <item m="1" x="144"/>
        <item m="1" x="143"/>
        <item m="1" x="142"/>
        <item m="1" x="141"/>
        <item m="1" x="140"/>
        <item m="1" x="139"/>
        <item x="71"/>
        <item m="1" x="137"/>
        <item m="1" x="135"/>
        <item x="132"/>
        <item x="14"/>
        <item x="96"/>
        <item x="115"/>
        <item x="130"/>
        <item x="91"/>
        <item x="44"/>
        <item x="10"/>
        <item x="87"/>
        <item x="109"/>
        <item x="5"/>
        <item x="57"/>
        <item x="21"/>
        <item x="42"/>
        <item x="100"/>
        <item t="default"/>
      </items>
    </pivotField>
    <pivotField showAll="0">
      <items count="9">
        <item h="1" x="3"/>
        <item x="2"/>
        <item h="1" x="0"/>
        <item h="1" x="1"/>
        <item h="1" x="5"/>
        <item h="1" x="7"/>
        <item h="1" x="6"/>
        <item h="1" x="4"/>
        <item t="default"/>
      </items>
    </pivotField>
    <pivotField showAll="0"/>
    <pivotField showAll="0"/>
    <pivotField showAll="0"/>
    <pivotField showAll="0"/>
    <pivotField showAll="0"/>
    <pivotField showAll="0"/>
    <pivotField numFmtId="10" showAll="0"/>
    <pivotField dataField="1" showAll="0"/>
    <pivotField showAll="0"/>
  </pivotFields>
  <rowFields count="1">
    <field x="1"/>
  </rowFields>
  <rowItems count="5">
    <i>
      <x v="39"/>
    </i>
    <i>
      <x v="45"/>
    </i>
    <i>
      <x v="53"/>
    </i>
    <i>
      <x v="202"/>
    </i>
    <i>
      <x v="215"/>
    </i>
  </rowItems>
  <colItems count="1">
    <i/>
  </colItems>
  <dataFields count="1">
    <dataField name="Target Hit% wise" fld="10" baseField="1" baseItem="39" numFmtId="10"/>
  </dataFields>
  <formats count="4">
    <format dxfId="41">
      <pivotArea field="1" type="button" dataOnly="0" labelOnly="1" outline="0" axis="axisRow" fieldPosition="0"/>
    </format>
    <format dxfId="40">
      <pivotArea dataOnly="0" labelOnly="1" outline="0" axis="axisValues" fieldPosition="0"/>
    </format>
    <format dxfId="39">
      <pivotArea field="1" type="button" dataOnly="0" labelOnly="1" outline="0" axis="axisRow" fieldPosition="0"/>
    </format>
    <format dxfId="38">
      <pivotArea dataOnly="0" labelOnly="1" outline="0" axis="axisValues" fieldPosition="0"/>
    </format>
  </formats>
  <chartFormats count="1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81"/>
          </reference>
        </references>
      </pivotArea>
    </chartFormat>
    <chartFormat chart="0" format="2">
      <pivotArea type="data" outline="0" fieldPosition="0">
        <references count="2">
          <reference field="4294967294" count="1" selected="0">
            <x v="0"/>
          </reference>
          <reference field="1" count="1" selected="0">
            <x v="127"/>
          </reference>
        </references>
      </pivotArea>
    </chartFormat>
    <chartFormat chart="0" format="3">
      <pivotArea type="data" outline="0" fieldPosition="0">
        <references count="2">
          <reference field="4294967294" count="1" selected="0">
            <x v="0"/>
          </reference>
          <reference field="1" count="1" selected="0">
            <x v="175"/>
          </reference>
        </references>
      </pivotArea>
    </chartFormat>
    <chartFormat chart="0" format="4">
      <pivotArea type="data" outline="0" fieldPosition="0">
        <references count="2">
          <reference field="4294967294" count="1" selected="0">
            <x v="0"/>
          </reference>
          <reference field="1" count="1" selected="0">
            <x v="204"/>
          </reference>
        </references>
      </pivotArea>
    </chartFormat>
    <chartFormat chart="0" format="5">
      <pivotArea type="data" outline="0" fieldPosition="0">
        <references count="2">
          <reference field="4294967294" count="1" selected="0">
            <x v="0"/>
          </reference>
          <reference field="1" count="1" selected="0">
            <x v="272"/>
          </reference>
        </references>
      </pivotArea>
    </chartFormat>
    <chartFormat chart="0" format="6">
      <pivotArea type="data" outline="0" fieldPosition="0">
        <references count="2">
          <reference field="4294967294" count="1" selected="0">
            <x v="0"/>
          </reference>
          <reference field="1" count="1" selected="0">
            <x v="39"/>
          </reference>
        </references>
      </pivotArea>
    </chartFormat>
    <chartFormat chart="0" format="7">
      <pivotArea type="data" outline="0" fieldPosition="0">
        <references count="2">
          <reference field="4294967294" count="1" selected="0">
            <x v="0"/>
          </reference>
          <reference field="1" count="1" selected="0">
            <x v="45"/>
          </reference>
        </references>
      </pivotArea>
    </chartFormat>
    <chartFormat chart="0" format="8">
      <pivotArea type="data" outline="0" fieldPosition="0">
        <references count="2">
          <reference field="4294967294" count="1" selected="0">
            <x v="0"/>
          </reference>
          <reference field="1" count="1" selected="0">
            <x v="53"/>
          </reference>
        </references>
      </pivotArea>
    </chartFormat>
    <chartFormat chart="0" format="9">
      <pivotArea type="data" outline="0" fieldPosition="0">
        <references count="2">
          <reference field="4294967294" count="1" selected="0">
            <x v="0"/>
          </reference>
          <reference field="1" count="1" selected="0">
            <x v="202"/>
          </reference>
        </references>
      </pivotArea>
    </chartFormat>
    <chartFormat chart="0" format="10">
      <pivotArea type="data" outline="0" fieldPosition="0">
        <references count="2">
          <reference field="4294967294" count="1" selected="0">
            <x v="0"/>
          </reference>
          <reference field="1" count="1" selected="0">
            <x v="215"/>
          </reference>
        </references>
      </pivotArea>
    </chartFormat>
  </chartFormats>
  <pivotTableStyleInfo name="PivotStyleDark14"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FEEDC051-3163-40B6-88E9-E5FF19EA3C5D}" sourceName="Region">
  <pivotTables>
    <pivotTable tabId="3" name="PivotTable5"/>
  </pivotTables>
  <data>
    <tabular pivotCacheId="990323697">
      <items count="8">
        <i x="3"/>
        <i x="2"/>
        <i x="0"/>
        <i x="1"/>
        <i x="5" s="1"/>
        <i x="7"/>
        <i x="6"/>
        <i x="4"/>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D3EE1583-3443-4DA5-984B-3392F32789D6}" cache="Slicer_Region" columnCount="8" showCaption="0" style="Slicer Style 1" rowHeight="27432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CF50AC-42B3-4A94-91E5-B295F1E5C8A8}">
  <sheetPr codeName="Sheet1">
    <tabColor rgb="FFFFD961"/>
  </sheetPr>
  <dimension ref="A1:L19"/>
  <sheetViews>
    <sheetView tabSelected="1" zoomScaleNormal="100" workbookViewId="0">
      <selection activeCell="M10" sqref="M10"/>
    </sheetView>
  </sheetViews>
  <sheetFormatPr defaultRowHeight="15" x14ac:dyDescent="0.25"/>
  <cols>
    <col min="1" max="1" width="19.140625" customWidth="1"/>
    <col min="2" max="2" width="11.5703125" bestFit="1" customWidth="1"/>
    <col min="3" max="3" width="5" customWidth="1"/>
    <col min="4" max="4" width="18.7109375" customWidth="1"/>
    <col min="5" max="5" width="16.85546875" customWidth="1"/>
    <col min="6" max="6" width="4.7109375" customWidth="1"/>
    <col min="7" max="7" width="18.5703125" bestFit="1" customWidth="1"/>
    <col min="8" max="8" width="16" bestFit="1" customWidth="1"/>
    <col min="9" max="9" width="4.85546875" customWidth="1"/>
    <col min="10" max="10" width="18.5703125" bestFit="1" customWidth="1"/>
    <col min="11" max="11" width="33.28515625" customWidth="1"/>
    <col min="12" max="12" width="0.140625" customWidth="1"/>
  </cols>
  <sheetData>
    <row r="1" spans="1:12" ht="29.25" customHeight="1" x14ac:dyDescent="0.25">
      <c r="A1" s="5" t="b">
        <v>0</v>
      </c>
      <c r="B1" s="5"/>
      <c r="C1" s="5"/>
      <c r="D1" s="5" t="b">
        <v>0</v>
      </c>
      <c r="E1" s="5"/>
      <c r="F1" s="5"/>
      <c r="G1" s="5" t="b">
        <v>0</v>
      </c>
      <c r="H1" s="5"/>
      <c r="I1" s="5"/>
      <c r="J1" s="5" t="b">
        <v>1</v>
      </c>
      <c r="K1" s="5"/>
    </row>
    <row r="2" spans="1:12" ht="44.25" customHeight="1" x14ac:dyDescent="0.25">
      <c r="A2" s="5"/>
      <c r="B2" s="5"/>
      <c r="C2" s="5"/>
      <c r="D2" s="5"/>
      <c r="E2" s="5"/>
      <c r="F2" s="5"/>
      <c r="G2" s="5"/>
      <c r="H2" s="5"/>
      <c r="I2" s="5"/>
      <c r="J2" s="5"/>
      <c r="K2" s="5"/>
    </row>
    <row r="3" spans="1:12" x14ac:dyDescent="0.25">
      <c r="A3" s="9" t="s">
        <v>12</v>
      </c>
      <c r="B3" s="9" t="s">
        <v>155</v>
      </c>
      <c r="C3" s="10"/>
      <c r="D3" s="9" t="s">
        <v>12</v>
      </c>
      <c r="E3" s="9" t="s">
        <v>155</v>
      </c>
      <c r="F3" s="6"/>
      <c r="G3" s="8" t="s">
        <v>12</v>
      </c>
      <c r="H3" s="8" t="s">
        <v>156</v>
      </c>
      <c r="I3" s="10"/>
      <c r="J3" s="8" t="s">
        <v>12</v>
      </c>
      <c r="K3" s="8" t="s">
        <v>157</v>
      </c>
    </row>
    <row r="4" spans="1:12" x14ac:dyDescent="0.25">
      <c r="A4" s="2" t="s">
        <v>103</v>
      </c>
      <c r="B4" s="11">
        <v>495</v>
      </c>
      <c r="C4" s="6"/>
      <c r="D4" s="2" t="s">
        <v>85</v>
      </c>
      <c r="E4" s="11">
        <v>143</v>
      </c>
      <c r="F4" s="6"/>
      <c r="G4" s="2" t="s">
        <v>14</v>
      </c>
      <c r="H4" s="4">
        <v>0.90799999999999992</v>
      </c>
      <c r="I4" s="6"/>
      <c r="J4" s="2" t="s">
        <v>105</v>
      </c>
      <c r="K4" s="4">
        <v>0.41</v>
      </c>
    </row>
    <row r="5" spans="1:12" x14ac:dyDescent="0.25">
      <c r="A5" s="2" t="s">
        <v>43</v>
      </c>
      <c r="B5" s="11">
        <v>482</v>
      </c>
      <c r="C5" s="6"/>
      <c r="D5" s="2" t="s">
        <v>83</v>
      </c>
      <c r="E5" s="11">
        <v>156</v>
      </c>
      <c r="F5" s="6"/>
      <c r="G5" s="2" t="s">
        <v>21</v>
      </c>
      <c r="H5" s="4">
        <v>0.90200000000000002</v>
      </c>
      <c r="I5" s="6"/>
      <c r="J5" s="2" t="s">
        <v>140</v>
      </c>
      <c r="K5" s="4">
        <v>0.434</v>
      </c>
    </row>
    <row r="6" spans="1:12" ht="16.5" customHeight="1" x14ac:dyDescent="0.25">
      <c r="A6" s="2" t="s">
        <v>22</v>
      </c>
      <c r="B6" s="11">
        <v>458</v>
      </c>
      <c r="C6" s="6"/>
      <c r="D6" s="2" t="s">
        <v>125</v>
      </c>
      <c r="E6" s="11">
        <v>166</v>
      </c>
      <c r="F6" s="6"/>
      <c r="G6" s="2" t="s">
        <v>43</v>
      </c>
      <c r="H6" s="4">
        <v>0.96399999999999997</v>
      </c>
      <c r="I6" s="6"/>
      <c r="J6" s="2" t="s">
        <v>44</v>
      </c>
      <c r="K6" s="4">
        <v>0.248</v>
      </c>
    </row>
    <row r="7" spans="1:12" ht="15.75" customHeight="1" x14ac:dyDescent="0.25">
      <c r="A7" s="2" t="s">
        <v>14</v>
      </c>
      <c r="B7" s="11">
        <v>454</v>
      </c>
      <c r="C7" s="6"/>
      <c r="D7" s="2" t="s">
        <v>78</v>
      </c>
      <c r="E7" s="11">
        <v>166</v>
      </c>
      <c r="F7" s="6"/>
      <c r="G7" s="2" t="s">
        <v>103</v>
      </c>
      <c r="H7" s="4">
        <v>0.99</v>
      </c>
      <c r="I7" s="6"/>
      <c r="J7" s="2" t="s">
        <v>66</v>
      </c>
      <c r="K7" s="4">
        <v>0.378</v>
      </c>
    </row>
    <row r="8" spans="1:12" ht="14.25" customHeight="1" x14ac:dyDescent="0.25">
      <c r="A8" s="2" t="s">
        <v>21</v>
      </c>
      <c r="B8" s="11">
        <v>451</v>
      </c>
      <c r="C8" s="6"/>
      <c r="D8" s="2" t="s">
        <v>81</v>
      </c>
      <c r="E8" s="11">
        <v>171</v>
      </c>
      <c r="F8" s="6"/>
      <c r="G8" s="2" t="s">
        <v>22</v>
      </c>
      <c r="H8" s="4">
        <v>0.91599999999999993</v>
      </c>
      <c r="I8" s="6"/>
      <c r="J8" s="2" t="s">
        <v>98</v>
      </c>
      <c r="K8" s="4">
        <v>0.43</v>
      </c>
    </row>
    <row r="9" spans="1:12" x14ac:dyDescent="0.25">
      <c r="A9" s="5"/>
      <c r="B9" s="5"/>
      <c r="C9" s="5"/>
      <c r="D9" s="5"/>
      <c r="E9" s="5"/>
      <c r="F9" s="5"/>
      <c r="G9" s="5"/>
      <c r="H9" s="5"/>
      <c r="I9" s="5"/>
      <c r="J9" s="5"/>
      <c r="K9" s="5"/>
      <c r="L9" s="5"/>
    </row>
    <row r="10" spans="1:12" x14ac:dyDescent="0.25">
      <c r="A10" s="5"/>
      <c r="B10" s="5"/>
      <c r="C10" s="5"/>
      <c r="D10" s="5"/>
      <c r="E10" s="5"/>
      <c r="F10" s="7" t="s">
        <v>158</v>
      </c>
      <c r="G10" s="5"/>
      <c r="H10" s="5"/>
      <c r="I10" s="5"/>
      <c r="J10" s="5"/>
      <c r="K10" s="5"/>
      <c r="L10" s="5"/>
    </row>
    <row r="11" spans="1:12" x14ac:dyDescent="0.25">
      <c r="A11" s="5"/>
      <c r="B11" s="5"/>
      <c r="C11" s="5"/>
      <c r="D11" s="5"/>
      <c r="E11" s="5"/>
      <c r="F11" s="5"/>
      <c r="G11" s="5"/>
      <c r="H11" s="5"/>
      <c r="I11" s="5"/>
      <c r="J11" s="5"/>
      <c r="K11" s="5"/>
      <c r="L11" s="5"/>
    </row>
    <row r="12" spans="1:12" x14ac:dyDescent="0.25">
      <c r="A12" s="5"/>
      <c r="B12" s="5"/>
      <c r="C12" s="5"/>
      <c r="D12" s="5"/>
      <c r="E12" s="5"/>
      <c r="F12" s="5"/>
      <c r="G12" s="5"/>
      <c r="H12" s="5"/>
      <c r="I12" s="5"/>
      <c r="J12" s="5"/>
      <c r="K12" s="5"/>
      <c r="L12" s="5"/>
    </row>
    <row r="13" spans="1:12" x14ac:dyDescent="0.25">
      <c r="A13" s="5"/>
      <c r="B13" s="5"/>
      <c r="C13" s="5"/>
      <c r="D13" s="5"/>
      <c r="E13" s="5"/>
      <c r="F13" s="5"/>
      <c r="G13" s="5"/>
      <c r="H13" s="5"/>
      <c r="I13" s="5"/>
      <c r="J13" s="5"/>
      <c r="K13" s="5"/>
      <c r="L13" s="5"/>
    </row>
    <row r="14" spans="1:12" x14ac:dyDescent="0.25">
      <c r="A14" s="5"/>
      <c r="B14" s="5"/>
      <c r="C14" s="5"/>
      <c r="D14" s="5"/>
      <c r="E14" s="5"/>
      <c r="F14" s="5"/>
      <c r="G14" s="5"/>
      <c r="H14" s="5"/>
      <c r="I14" s="5"/>
      <c r="J14" s="5"/>
      <c r="K14" s="5"/>
      <c r="L14" s="5"/>
    </row>
    <row r="15" spans="1:12" x14ac:dyDescent="0.25">
      <c r="A15" s="5"/>
      <c r="B15" s="5"/>
      <c r="C15" s="5"/>
      <c r="D15" s="5"/>
      <c r="E15" s="5"/>
      <c r="F15" s="5"/>
      <c r="G15" s="5"/>
      <c r="H15" s="5"/>
      <c r="I15" s="5"/>
      <c r="J15" s="5"/>
      <c r="K15" s="5"/>
      <c r="L15" s="5"/>
    </row>
    <row r="16" spans="1:12" x14ac:dyDescent="0.25">
      <c r="A16" s="5"/>
      <c r="B16" s="5"/>
      <c r="C16" s="5"/>
      <c r="D16" s="5"/>
      <c r="E16" s="5"/>
      <c r="F16" s="5"/>
      <c r="G16" s="5"/>
      <c r="H16" s="5"/>
      <c r="I16" s="5"/>
      <c r="J16" s="5"/>
      <c r="K16" s="5"/>
      <c r="L16" s="5"/>
    </row>
    <row r="17" spans="1:12" x14ac:dyDescent="0.25">
      <c r="A17" s="5"/>
      <c r="B17" s="5"/>
      <c r="C17" s="5"/>
      <c r="D17" s="5"/>
      <c r="E17" s="5"/>
      <c r="F17" s="5"/>
      <c r="G17" s="5"/>
      <c r="H17" s="5"/>
      <c r="I17" s="5"/>
      <c r="J17" s="5"/>
      <c r="K17" s="5"/>
      <c r="L17" s="5"/>
    </row>
    <row r="18" spans="1:12" x14ac:dyDescent="0.25">
      <c r="A18" s="5"/>
      <c r="B18" s="5"/>
      <c r="C18" s="5"/>
      <c r="D18" s="5"/>
      <c r="E18" s="5"/>
      <c r="F18" s="5"/>
      <c r="G18" s="5"/>
      <c r="H18" s="5"/>
      <c r="I18" s="5"/>
      <c r="J18" s="5"/>
      <c r="K18" s="5"/>
      <c r="L18" s="5"/>
    </row>
    <row r="19" spans="1:12" x14ac:dyDescent="0.25">
      <c r="A19" s="5"/>
      <c r="B19" s="5"/>
      <c r="C19" s="5"/>
      <c r="D19" s="5"/>
      <c r="E19" s="5"/>
      <c r="F19" s="5"/>
      <c r="G19" s="5"/>
      <c r="H19" s="5"/>
      <c r="I19" s="5"/>
      <c r="J19" s="5"/>
      <c r="K19" s="5"/>
      <c r="L19" s="5"/>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5" r:id="rId8" name="Check Box 1">
              <controlPr defaultSize="0" autoFill="0" autoLine="0" autoPict="0" macro="[0]!ahmer_007">
                <anchor moveWithCells="1">
                  <from>
                    <xdr:col>0</xdr:col>
                    <xdr:colOff>238125</xdr:colOff>
                    <xdr:row>1</xdr:row>
                    <xdr:rowOff>219075</xdr:rowOff>
                  </from>
                  <to>
                    <xdr:col>0</xdr:col>
                    <xdr:colOff>1143000</xdr:colOff>
                    <xdr:row>1</xdr:row>
                    <xdr:rowOff>438150</xdr:rowOff>
                  </to>
                </anchor>
              </controlPr>
            </control>
          </mc:Choice>
        </mc:AlternateContent>
        <mc:AlternateContent xmlns:mc="http://schemas.openxmlformats.org/markup-compatibility/2006">
          <mc:Choice Requires="x14">
            <control shapeId="1028" r:id="rId9" name="Check Box 4">
              <controlPr defaultSize="0" autoFill="0" autoLine="0" autoPict="0" macro="[0]!ahmer_007">
                <anchor moveWithCells="1">
                  <from>
                    <xdr:col>9</xdr:col>
                    <xdr:colOff>314325</xdr:colOff>
                    <xdr:row>1</xdr:row>
                    <xdr:rowOff>209550</xdr:rowOff>
                  </from>
                  <to>
                    <xdr:col>9</xdr:col>
                    <xdr:colOff>1219200</xdr:colOff>
                    <xdr:row>1</xdr:row>
                    <xdr:rowOff>428625</xdr:rowOff>
                  </to>
                </anchor>
              </controlPr>
            </control>
          </mc:Choice>
        </mc:AlternateContent>
        <mc:AlternateContent xmlns:mc="http://schemas.openxmlformats.org/markup-compatibility/2006">
          <mc:Choice Requires="x14">
            <control shapeId="1030" r:id="rId10" name="Check Box 6">
              <controlPr defaultSize="0" autoFill="0" autoLine="0" autoPict="0" macro="[0]!ahmer_007">
                <anchor moveWithCells="1">
                  <from>
                    <xdr:col>3</xdr:col>
                    <xdr:colOff>323850</xdr:colOff>
                    <xdr:row>1</xdr:row>
                    <xdr:rowOff>180975</xdr:rowOff>
                  </from>
                  <to>
                    <xdr:col>4</xdr:col>
                    <xdr:colOff>19050</xdr:colOff>
                    <xdr:row>1</xdr:row>
                    <xdr:rowOff>400050</xdr:rowOff>
                  </to>
                </anchor>
              </controlPr>
            </control>
          </mc:Choice>
        </mc:AlternateContent>
        <mc:AlternateContent xmlns:mc="http://schemas.openxmlformats.org/markup-compatibility/2006">
          <mc:Choice Requires="x14">
            <control shapeId="1031" r:id="rId11" name="Check Box 7">
              <controlPr defaultSize="0" autoFill="0" autoLine="0" autoPict="0" macro="[0]!ahmer_007">
                <anchor moveWithCells="1">
                  <from>
                    <xdr:col>6</xdr:col>
                    <xdr:colOff>238125</xdr:colOff>
                    <xdr:row>1</xdr:row>
                    <xdr:rowOff>200025</xdr:rowOff>
                  </from>
                  <to>
                    <xdr:col>6</xdr:col>
                    <xdr:colOff>1181100</xdr:colOff>
                    <xdr:row>1</xdr:row>
                    <xdr:rowOff>419100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76E05-6E0F-4F3D-BD3F-4748188940BC}">
  <sheetPr codeName="Sheet2"/>
  <dimension ref="A1:L142"/>
  <sheetViews>
    <sheetView topLeftCell="A21" workbookViewId="0">
      <selection activeCell="H34" sqref="H34"/>
    </sheetView>
  </sheetViews>
  <sheetFormatPr defaultRowHeight="15" x14ac:dyDescent="0.25"/>
  <cols>
    <col min="1" max="1" width="15.7109375" customWidth="1"/>
    <col min="2" max="2" width="24" bestFit="1" customWidth="1"/>
    <col min="3" max="3" width="11" customWidth="1"/>
    <col min="4" max="8" width="8.42578125" bestFit="1" customWidth="1"/>
    <col min="9" max="9" width="17" bestFit="1" customWidth="1"/>
    <col min="10" max="10" width="13.140625" style="4" customWidth="1"/>
    <col min="11" max="11" width="18.42578125" bestFit="1" customWidth="1"/>
    <col min="12" max="12" width="29.7109375" bestFit="1" customWidth="1"/>
    <col min="14" max="14" width="15.42578125" bestFit="1" customWidth="1"/>
  </cols>
  <sheetData>
    <row r="1" spans="1:12" ht="24" x14ac:dyDescent="0.4">
      <c r="A1" s="1" t="s">
        <v>0</v>
      </c>
      <c r="B1" s="1" t="s">
        <v>1</v>
      </c>
      <c r="C1" s="1" t="s">
        <v>2</v>
      </c>
      <c r="D1" s="1" t="s">
        <v>3</v>
      </c>
      <c r="E1" s="1" t="s">
        <v>4</v>
      </c>
      <c r="F1" s="1" t="s">
        <v>5</v>
      </c>
      <c r="G1" s="1" t="s">
        <v>6</v>
      </c>
      <c r="H1" s="1" t="s">
        <v>7</v>
      </c>
      <c r="I1" s="1" t="s">
        <v>8</v>
      </c>
      <c r="J1" s="3" t="s">
        <v>9</v>
      </c>
      <c r="K1" s="1" t="s">
        <v>10</v>
      </c>
      <c r="L1" s="1" t="s">
        <v>11</v>
      </c>
    </row>
    <row r="2" spans="1:12" x14ac:dyDescent="0.25">
      <c r="A2" t="str">
        <f>"Emp_" &amp; TEXT(ROW()-1, "000")</f>
        <v>Emp_001</v>
      </c>
      <c r="B2" t="s">
        <v>13</v>
      </c>
      <c r="C2" t="s">
        <v>147</v>
      </c>
      <c r="D2">
        <v>49</v>
      </c>
      <c r="E2">
        <v>84</v>
      </c>
      <c r="F2">
        <v>98</v>
      </c>
      <c r="G2">
        <v>67</v>
      </c>
      <c r="H2">
        <v>41</v>
      </c>
      <c r="I2">
        <f>SUM(D2:H2)</f>
        <v>339</v>
      </c>
      <c r="J2" s="4">
        <v>500</v>
      </c>
      <c r="K2">
        <f>I2/J2</f>
        <v>0.67800000000000005</v>
      </c>
      <c r="L2">
        <f>100%-K2</f>
        <v>0.32199999999999995</v>
      </c>
    </row>
    <row r="3" spans="1:12" x14ac:dyDescent="0.25">
      <c r="A3" t="str">
        <f t="shared" ref="A3:A10" si="0">"Emp_" &amp; TEXT(ROW()-1, "000")</f>
        <v>Emp_002</v>
      </c>
      <c r="B3" t="s">
        <v>14</v>
      </c>
      <c r="C3" t="s">
        <v>148</v>
      </c>
      <c r="D3">
        <v>44</v>
      </c>
      <c r="E3">
        <v>85</v>
      </c>
      <c r="F3">
        <v>7</v>
      </c>
      <c r="G3">
        <v>4</v>
      </c>
      <c r="H3">
        <v>3</v>
      </c>
      <c r="I3">
        <f>SUM(D3:H3)</f>
        <v>143</v>
      </c>
      <c r="J3" s="4">
        <v>500</v>
      </c>
      <c r="K3">
        <f>I3/J3</f>
        <v>0.28599999999999998</v>
      </c>
      <c r="L3">
        <f t="shared" ref="L3:L66" si="1">100%-K3</f>
        <v>0.71399999999999997</v>
      </c>
    </row>
    <row r="4" spans="1:12" x14ac:dyDescent="0.25">
      <c r="A4" t="str">
        <f t="shared" si="0"/>
        <v>Emp_003</v>
      </c>
      <c r="B4" t="s">
        <v>15</v>
      </c>
      <c r="C4" t="s">
        <v>149</v>
      </c>
      <c r="D4">
        <v>45</v>
      </c>
      <c r="E4">
        <v>79</v>
      </c>
      <c r="F4">
        <v>88</v>
      </c>
      <c r="G4">
        <v>73</v>
      </c>
      <c r="H4">
        <v>94</v>
      </c>
      <c r="I4">
        <f t="shared" ref="I4:I66" si="2">SUM(D4:H4)</f>
        <v>379</v>
      </c>
      <c r="J4" s="4">
        <v>500</v>
      </c>
      <c r="K4">
        <f t="shared" ref="K4:K66" si="3">I4/J4</f>
        <v>0.75800000000000001</v>
      </c>
      <c r="L4">
        <f t="shared" si="1"/>
        <v>0.24199999999999999</v>
      </c>
    </row>
    <row r="5" spans="1:12" x14ac:dyDescent="0.25">
      <c r="A5" t="str">
        <f t="shared" si="0"/>
        <v>Emp_004</v>
      </c>
      <c r="B5" t="s">
        <v>16</v>
      </c>
      <c r="C5" t="s">
        <v>150</v>
      </c>
      <c r="D5">
        <v>52</v>
      </c>
      <c r="E5">
        <v>99</v>
      </c>
      <c r="F5">
        <v>13</v>
      </c>
      <c r="G5">
        <v>95</v>
      </c>
      <c r="H5">
        <v>29</v>
      </c>
      <c r="I5">
        <f t="shared" si="2"/>
        <v>288</v>
      </c>
      <c r="J5" s="4">
        <v>500</v>
      </c>
      <c r="K5">
        <f t="shared" si="3"/>
        <v>0.57599999999999996</v>
      </c>
      <c r="L5">
        <f t="shared" si="1"/>
        <v>0.42400000000000004</v>
      </c>
    </row>
    <row r="6" spans="1:12" x14ac:dyDescent="0.25">
      <c r="A6" t="str">
        <f t="shared" si="0"/>
        <v>Emp_005</v>
      </c>
      <c r="B6" t="s">
        <v>17</v>
      </c>
      <c r="C6" t="s">
        <v>151</v>
      </c>
      <c r="D6">
        <v>35</v>
      </c>
      <c r="E6">
        <v>54</v>
      </c>
      <c r="F6">
        <v>49</v>
      </c>
      <c r="G6">
        <v>26</v>
      </c>
      <c r="H6">
        <v>49</v>
      </c>
      <c r="I6">
        <f t="shared" si="2"/>
        <v>213</v>
      </c>
      <c r="J6" s="4">
        <v>500</v>
      </c>
      <c r="K6">
        <f t="shared" si="3"/>
        <v>0.42599999999999999</v>
      </c>
      <c r="L6">
        <f t="shared" si="1"/>
        <v>0.57400000000000007</v>
      </c>
    </row>
    <row r="7" spans="1:12" x14ac:dyDescent="0.25">
      <c r="A7" t="str">
        <f t="shared" si="0"/>
        <v>Emp_006</v>
      </c>
      <c r="B7" t="s">
        <v>18</v>
      </c>
      <c r="C7" t="s">
        <v>152</v>
      </c>
      <c r="D7">
        <v>86</v>
      </c>
      <c r="E7">
        <v>31</v>
      </c>
      <c r="F7">
        <v>23</v>
      </c>
      <c r="G7">
        <v>48</v>
      </c>
      <c r="H7">
        <v>77</v>
      </c>
      <c r="I7">
        <f t="shared" si="2"/>
        <v>265</v>
      </c>
      <c r="J7" s="4">
        <v>500</v>
      </c>
      <c r="K7">
        <f t="shared" si="3"/>
        <v>0.53</v>
      </c>
      <c r="L7">
        <f t="shared" si="1"/>
        <v>0.47</v>
      </c>
    </row>
    <row r="8" spans="1:12" x14ac:dyDescent="0.25">
      <c r="A8" t="str">
        <f t="shared" si="0"/>
        <v>Emp_007</v>
      </c>
      <c r="B8" t="s">
        <v>19</v>
      </c>
      <c r="C8" t="s">
        <v>153</v>
      </c>
      <c r="D8">
        <v>84</v>
      </c>
      <c r="E8">
        <v>28</v>
      </c>
      <c r="F8">
        <v>98</v>
      </c>
      <c r="G8">
        <v>80</v>
      </c>
      <c r="H8">
        <v>79</v>
      </c>
      <c r="I8">
        <f t="shared" si="2"/>
        <v>369</v>
      </c>
      <c r="J8" s="4">
        <v>500</v>
      </c>
      <c r="K8">
        <f t="shared" si="3"/>
        <v>0.73799999999999999</v>
      </c>
      <c r="L8">
        <f t="shared" si="1"/>
        <v>0.26200000000000001</v>
      </c>
    </row>
    <row r="9" spans="1:12" x14ac:dyDescent="0.25">
      <c r="A9" t="str">
        <f t="shared" si="0"/>
        <v>Emp_008</v>
      </c>
      <c r="B9" t="s">
        <v>20</v>
      </c>
      <c r="C9" t="s">
        <v>154</v>
      </c>
      <c r="D9">
        <v>73</v>
      </c>
      <c r="E9">
        <v>97</v>
      </c>
      <c r="F9">
        <v>38</v>
      </c>
      <c r="G9">
        <v>24</v>
      </c>
      <c r="H9">
        <v>53</v>
      </c>
      <c r="I9">
        <f t="shared" si="2"/>
        <v>285</v>
      </c>
      <c r="J9" s="4">
        <v>500</v>
      </c>
      <c r="K9">
        <f t="shared" si="3"/>
        <v>0.56999999999999995</v>
      </c>
      <c r="L9">
        <f t="shared" si="1"/>
        <v>0.43000000000000005</v>
      </c>
    </row>
    <row r="10" spans="1:12" x14ac:dyDescent="0.25">
      <c r="A10" t="str">
        <f t="shared" si="0"/>
        <v>Emp_009</v>
      </c>
      <c r="B10" t="s">
        <v>21</v>
      </c>
      <c r="C10" t="s">
        <v>147</v>
      </c>
      <c r="D10">
        <v>3</v>
      </c>
      <c r="E10">
        <v>44</v>
      </c>
      <c r="F10">
        <v>23</v>
      </c>
      <c r="G10">
        <v>43</v>
      </c>
      <c r="H10">
        <v>20</v>
      </c>
      <c r="I10">
        <f t="shared" si="2"/>
        <v>133</v>
      </c>
      <c r="J10" s="4">
        <v>500</v>
      </c>
      <c r="K10">
        <f t="shared" si="3"/>
        <v>0.26600000000000001</v>
      </c>
      <c r="L10">
        <f t="shared" si="1"/>
        <v>0.73399999999999999</v>
      </c>
    </row>
    <row r="11" spans="1:12" x14ac:dyDescent="0.25">
      <c r="A11" t="str">
        <f>"Emp_" &amp; TEXT(ROW()-1, "000")</f>
        <v>Emp_010</v>
      </c>
      <c r="B11" t="s">
        <v>22</v>
      </c>
      <c r="C11" t="s">
        <v>148</v>
      </c>
      <c r="D11">
        <v>52</v>
      </c>
      <c r="E11">
        <v>52</v>
      </c>
      <c r="F11">
        <v>19</v>
      </c>
      <c r="G11">
        <v>53</v>
      </c>
      <c r="H11">
        <v>37</v>
      </c>
      <c r="I11">
        <f t="shared" si="2"/>
        <v>213</v>
      </c>
      <c r="J11" s="4">
        <v>500</v>
      </c>
      <c r="K11">
        <f t="shared" si="3"/>
        <v>0.42599999999999999</v>
      </c>
      <c r="L11">
        <f t="shared" si="1"/>
        <v>0.57400000000000007</v>
      </c>
    </row>
    <row r="12" spans="1:12" x14ac:dyDescent="0.25">
      <c r="A12" t="str">
        <f t="shared" ref="A12:A75" si="4">"Emp_" &amp; TEXT(ROW()-1, "000")</f>
        <v>Emp_011</v>
      </c>
      <c r="B12" t="s">
        <v>23</v>
      </c>
      <c r="C12" t="s">
        <v>149</v>
      </c>
      <c r="D12">
        <v>63</v>
      </c>
      <c r="E12">
        <v>17</v>
      </c>
      <c r="F12">
        <v>40</v>
      </c>
      <c r="G12">
        <v>48</v>
      </c>
      <c r="H12">
        <v>51</v>
      </c>
      <c r="I12">
        <f t="shared" si="2"/>
        <v>219</v>
      </c>
      <c r="J12" s="4">
        <v>500</v>
      </c>
      <c r="K12">
        <f t="shared" si="3"/>
        <v>0.438</v>
      </c>
      <c r="L12">
        <f t="shared" si="1"/>
        <v>0.56200000000000006</v>
      </c>
    </row>
    <row r="13" spans="1:12" x14ac:dyDescent="0.25">
      <c r="A13" t="str">
        <f t="shared" si="4"/>
        <v>Emp_012</v>
      </c>
      <c r="B13" t="s">
        <v>24</v>
      </c>
      <c r="C13" t="s">
        <v>150</v>
      </c>
      <c r="D13">
        <v>79</v>
      </c>
      <c r="E13">
        <v>99</v>
      </c>
      <c r="F13">
        <v>95</v>
      </c>
      <c r="G13">
        <v>12</v>
      </c>
      <c r="H13">
        <v>91</v>
      </c>
      <c r="I13">
        <f t="shared" si="2"/>
        <v>376</v>
      </c>
      <c r="J13" s="4">
        <v>500</v>
      </c>
      <c r="K13">
        <f t="shared" si="3"/>
        <v>0.752</v>
      </c>
      <c r="L13">
        <f t="shared" si="1"/>
        <v>0.248</v>
      </c>
    </row>
    <row r="14" spans="1:12" x14ac:dyDescent="0.25">
      <c r="A14" t="str">
        <f t="shared" si="4"/>
        <v>Emp_013</v>
      </c>
      <c r="B14" t="s">
        <v>25</v>
      </c>
      <c r="C14" t="s">
        <v>151</v>
      </c>
      <c r="D14">
        <v>95</v>
      </c>
      <c r="E14">
        <v>88</v>
      </c>
      <c r="F14">
        <v>11</v>
      </c>
      <c r="G14">
        <v>78</v>
      </c>
      <c r="H14">
        <v>60</v>
      </c>
      <c r="I14">
        <f t="shared" si="2"/>
        <v>332</v>
      </c>
      <c r="J14" s="4">
        <v>500</v>
      </c>
      <c r="K14">
        <f t="shared" si="3"/>
        <v>0.66400000000000003</v>
      </c>
      <c r="L14">
        <f t="shared" si="1"/>
        <v>0.33599999999999997</v>
      </c>
    </row>
    <row r="15" spans="1:12" x14ac:dyDescent="0.25">
      <c r="A15" t="str">
        <f t="shared" si="4"/>
        <v>Emp_014</v>
      </c>
      <c r="B15" t="s">
        <v>26</v>
      </c>
      <c r="C15" t="s">
        <v>152</v>
      </c>
      <c r="D15">
        <v>83</v>
      </c>
      <c r="E15">
        <v>77</v>
      </c>
      <c r="F15">
        <v>66</v>
      </c>
      <c r="G15">
        <v>22</v>
      </c>
      <c r="H15">
        <v>40</v>
      </c>
      <c r="I15">
        <f t="shared" si="2"/>
        <v>288</v>
      </c>
      <c r="J15" s="4">
        <v>500</v>
      </c>
      <c r="K15">
        <f t="shared" si="3"/>
        <v>0.57599999999999996</v>
      </c>
      <c r="L15">
        <f t="shared" si="1"/>
        <v>0.42400000000000004</v>
      </c>
    </row>
    <row r="16" spans="1:12" x14ac:dyDescent="0.25">
      <c r="A16" t="str">
        <f t="shared" si="4"/>
        <v>Emp_015</v>
      </c>
      <c r="B16" t="s">
        <v>27</v>
      </c>
      <c r="C16" t="s">
        <v>153</v>
      </c>
      <c r="D16">
        <v>78</v>
      </c>
      <c r="E16">
        <v>58</v>
      </c>
      <c r="F16">
        <v>34</v>
      </c>
      <c r="G16">
        <v>84</v>
      </c>
      <c r="H16">
        <v>31</v>
      </c>
      <c r="I16">
        <f t="shared" si="2"/>
        <v>285</v>
      </c>
      <c r="J16" s="4">
        <v>500</v>
      </c>
      <c r="K16">
        <f t="shared" si="3"/>
        <v>0.56999999999999995</v>
      </c>
      <c r="L16">
        <f t="shared" si="1"/>
        <v>0.43000000000000005</v>
      </c>
    </row>
    <row r="17" spans="1:12" x14ac:dyDescent="0.25">
      <c r="A17" t="str">
        <f t="shared" si="4"/>
        <v>Emp_016</v>
      </c>
      <c r="B17" t="s">
        <v>28</v>
      </c>
      <c r="C17" t="s">
        <v>154</v>
      </c>
      <c r="D17">
        <v>14</v>
      </c>
      <c r="E17">
        <v>25</v>
      </c>
      <c r="F17">
        <v>45</v>
      </c>
      <c r="G17">
        <v>70</v>
      </c>
      <c r="H17">
        <v>45</v>
      </c>
      <c r="I17">
        <f t="shared" si="2"/>
        <v>199</v>
      </c>
      <c r="J17" s="4">
        <v>500</v>
      </c>
      <c r="K17">
        <f t="shared" si="3"/>
        <v>0.39800000000000002</v>
      </c>
      <c r="L17">
        <f t="shared" si="1"/>
        <v>0.60199999999999998</v>
      </c>
    </row>
    <row r="18" spans="1:12" x14ac:dyDescent="0.25">
      <c r="A18" t="str">
        <f t="shared" si="4"/>
        <v>Emp_017</v>
      </c>
      <c r="B18" t="s">
        <v>29</v>
      </c>
      <c r="C18" t="s">
        <v>147</v>
      </c>
      <c r="D18">
        <v>37</v>
      </c>
      <c r="E18">
        <v>69</v>
      </c>
      <c r="F18">
        <v>96</v>
      </c>
      <c r="G18">
        <v>66</v>
      </c>
      <c r="H18">
        <v>38</v>
      </c>
      <c r="I18">
        <f t="shared" si="2"/>
        <v>306</v>
      </c>
      <c r="J18" s="4">
        <v>500</v>
      </c>
      <c r="K18">
        <f t="shared" si="3"/>
        <v>0.61199999999999999</v>
      </c>
      <c r="L18">
        <f t="shared" si="1"/>
        <v>0.38800000000000001</v>
      </c>
    </row>
    <row r="19" spans="1:12" x14ac:dyDescent="0.25">
      <c r="A19" t="str">
        <f t="shared" si="4"/>
        <v>Emp_018</v>
      </c>
      <c r="B19" t="s">
        <v>30</v>
      </c>
      <c r="C19" t="s">
        <v>148</v>
      </c>
      <c r="D19">
        <v>11</v>
      </c>
      <c r="E19">
        <v>46</v>
      </c>
      <c r="F19">
        <v>91</v>
      </c>
      <c r="G19">
        <v>98</v>
      </c>
      <c r="H19">
        <v>45</v>
      </c>
      <c r="I19">
        <f t="shared" si="2"/>
        <v>291</v>
      </c>
      <c r="J19" s="4">
        <v>500</v>
      </c>
      <c r="K19">
        <f t="shared" si="3"/>
        <v>0.58199999999999996</v>
      </c>
      <c r="L19">
        <f t="shared" si="1"/>
        <v>0.41800000000000004</v>
      </c>
    </row>
    <row r="20" spans="1:12" x14ac:dyDescent="0.25">
      <c r="A20" t="str">
        <f t="shared" si="4"/>
        <v>Emp_019</v>
      </c>
      <c r="B20" t="s">
        <v>31</v>
      </c>
      <c r="C20" t="s">
        <v>149</v>
      </c>
      <c r="D20">
        <v>19</v>
      </c>
      <c r="E20">
        <v>34</v>
      </c>
      <c r="F20">
        <v>64</v>
      </c>
      <c r="G20">
        <v>65</v>
      </c>
      <c r="H20">
        <v>70</v>
      </c>
      <c r="I20">
        <f t="shared" si="2"/>
        <v>252</v>
      </c>
      <c r="J20" s="4">
        <v>500</v>
      </c>
      <c r="K20">
        <f t="shared" si="3"/>
        <v>0.504</v>
      </c>
      <c r="L20">
        <f t="shared" si="1"/>
        <v>0.496</v>
      </c>
    </row>
    <row r="21" spans="1:12" x14ac:dyDescent="0.25">
      <c r="A21" t="str">
        <f t="shared" si="4"/>
        <v>Emp_020</v>
      </c>
      <c r="B21" t="s">
        <v>32</v>
      </c>
      <c r="C21" t="s">
        <v>150</v>
      </c>
      <c r="D21">
        <v>93</v>
      </c>
      <c r="E21">
        <v>84</v>
      </c>
      <c r="F21">
        <v>13</v>
      </c>
      <c r="G21">
        <v>45</v>
      </c>
      <c r="H21">
        <v>18</v>
      </c>
      <c r="I21">
        <f t="shared" si="2"/>
        <v>253</v>
      </c>
      <c r="J21" s="4">
        <v>500</v>
      </c>
      <c r="K21">
        <f t="shared" si="3"/>
        <v>0.50600000000000001</v>
      </c>
      <c r="L21">
        <f t="shared" si="1"/>
        <v>0.49399999999999999</v>
      </c>
    </row>
    <row r="22" spans="1:12" x14ac:dyDescent="0.25">
      <c r="A22" t="str">
        <f t="shared" si="4"/>
        <v>Emp_021</v>
      </c>
      <c r="B22" t="s">
        <v>33</v>
      </c>
      <c r="C22" t="s">
        <v>151</v>
      </c>
      <c r="D22">
        <v>68</v>
      </c>
      <c r="E22">
        <v>73</v>
      </c>
      <c r="F22">
        <v>97</v>
      </c>
      <c r="G22">
        <v>76</v>
      </c>
      <c r="H22">
        <v>53</v>
      </c>
      <c r="I22">
        <f t="shared" si="2"/>
        <v>367</v>
      </c>
      <c r="J22" s="4">
        <v>500</v>
      </c>
      <c r="K22">
        <f t="shared" si="3"/>
        <v>0.73399999999999999</v>
      </c>
      <c r="L22">
        <f t="shared" si="1"/>
        <v>0.26600000000000001</v>
      </c>
    </row>
    <row r="23" spans="1:12" x14ac:dyDescent="0.25">
      <c r="A23" t="str">
        <f t="shared" si="4"/>
        <v>Emp_022</v>
      </c>
      <c r="B23" t="s">
        <v>34</v>
      </c>
      <c r="C23" t="s">
        <v>152</v>
      </c>
      <c r="D23">
        <v>99</v>
      </c>
      <c r="E23">
        <v>17</v>
      </c>
      <c r="F23">
        <v>48</v>
      </c>
      <c r="G23">
        <v>44</v>
      </c>
      <c r="H23">
        <v>93</v>
      </c>
      <c r="I23">
        <f t="shared" si="2"/>
        <v>301</v>
      </c>
      <c r="J23" s="4">
        <v>500</v>
      </c>
      <c r="K23">
        <f t="shared" si="3"/>
        <v>0.60199999999999998</v>
      </c>
      <c r="L23">
        <f t="shared" si="1"/>
        <v>0.39800000000000002</v>
      </c>
    </row>
    <row r="24" spans="1:12" x14ac:dyDescent="0.25">
      <c r="A24" t="str">
        <f t="shared" si="4"/>
        <v>Emp_023</v>
      </c>
      <c r="B24" t="s">
        <v>35</v>
      </c>
      <c r="C24" t="s">
        <v>153</v>
      </c>
      <c r="D24">
        <v>57</v>
      </c>
      <c r="E24">
        <v>28</v>
      </c>
      <c r="F24">
        <v>31</v>
      </c>
      <c r="G24">
        <v>34</v>
      </c>
      <c r="H24">
        <v>52</v>
      </c>
      <c r="I24">
        <f t="shared" si="2"/>
        <v>202</v>
      </c>
      <c r="J24" s="4">
        <v>500</v>
      </c>
      <c r="K24">
        <f t="shared" si="3"/>
        <v>0.40400000000000003</v>
      </c>
      <c r="L24">
        <f t="shared" si="1"/>
        <v>0.59599999999999997</v>
      </c>
    </row>
    <row r="25" spans="1:12" x14ac:dyDescent="0.25">
      <c r="A25" t="str">
        <f t="shared" si="4"/>
        <v>Emp_024</v>
      </c>
      <c r="B25" t="s">
        <v>36</v>
      </c>
      <c r="C25" t="s">
        <v>154</v>
      </c>
      <c r="D25">
        <v>40</v>
      </c>
      <c r="E25">
        <v>22</v>
      </c>
      <c r="F25">
        <v>18</v>
      </c>
      <c r="G25">
        <v>11</v>
      </c>
      <c r="H25">
        <v>92</v>
      </c>
      <c r="I25">
        <f t="shared" si="2"/>
        <v>183</v>
      </c>
      <c r="J25" s="4">
        <v>500</v>
      </c>
      <c r="K25">
        <f t="shared" si="3"/>
        <v>0.36599999999999999</v>
      </c>
      <c r="L25">
        <f t="shared" si="1"/>
        <v>0.63400000000000001</v>
      </c>
    </row>
    <row r="26" spans="1:12" x14ac:dyDescent="0.25">
      <c r="A26" t="str">
        <f t="shared" si="4"/>
        <v>Emp_025</v>
      </c>
      <c r="B26" t="s">
        <v>37</v>
      </c>
      <c r="C26" t="s">
        <v>147</v>
      </c>
      <c r="D26">
        <v>47</v>
      </c>
      <c r="E26">
        <v>99</v>
      </c>
      <c r="F26">
        <v>94</v>
      </c>
      <c r="G26">
        <v>75</v>
      </c>
      <c r="H26">
        <v>29</v>
      </c>
      <c r="I26">
        <f t="shared" si="2"/>
        <v>344</v>
      </c>
      <c r="J26" s="4">
        <v>500</v>
      </c>
      <c r="K26">
        <f t="shared" si="3"/>
        <v>0.68799999999999994</v>
      </c>
      <c r="L26">
        <f t="shared" si="1"/>
        <v>0.31200000000000006</v>
      </c>
    </row>
    <row r="27" spans="1:12" x14ac:dyDescent="0.25">
      <c r="A27" t="str">
        <f t="shared" si="4"/>
        <v>Emp_026</v>
      </c>
      <c r="B27" t="s">
        <v>38</v>
      </c>
      <c r="C27" t="s">
        <v>148</v>
      </c>
      <c r="D27">
        <v>16</v>
      </c>
      <c r="E27">
        <v>71</v>
      </c>
      <c r="F27">
        <v>80</v>
      </c>
      <c r="G27">
        <v>76</v>
      </c>
      <c r="H27">
        <v>33</v>
      </c>
      <c r="I27">
        <f t="shared" si="2"/>
        <v>276</v>
      </c>
      <c r="J27" s="4">
        <v>500</v>
      </c>
      <c r="K27">
        <f t="shared" si="3"/>
        <v>0.55200000000000005</v>
      </c>
      <c r="L27">
        <f t="shared" si="1"/>
        <v>0.44799999999999995</v>
      </c>
    </row>
    <row r="28" spans="1:12" x14ac:dyDescent="0.25">
      <c r="A28" t="str">
        <f t="shared" si="4"/>
        <v>Emp_027</v>
      </c>
      <c r="B28" t="s">
        <v>39</v>
      </c>
      <c r="C28" t="s">
        <v>149</v>
      </c>
      <c r="D28">
        <v>72</v>
      </c>
      <c r="E28">
        <v>87</v>
      </c>
      <c r="F28">
        <v>92</v>
      </c>
      <c r="G28">
        <v>72</v>
      </c>
      <c r="H28">
        <v>34</v>
      </c>
      <c r="I28">
        <f t="shared" si="2"/>
        <v>357</v>
      </c>
      <c r="J28" s="4">
        <v>500</v>
      </c>
      <c r="K28">
        <f t="shared" si="3"/>
        <v>0.71399999999999997</v>
      </c>
      <c r="L28">
        <f t="shared" si="1"/>
        <v>0.28600000000000003</v>
      </c>
    </row>
    <row r="29" spans="1:12" x14ac:dyDescent="0.25">
      <c r="A29" t="str">
        <f t="shared" si="4"/>
        <v>Emp_028</v>
      </c>
      <c r="B29" t="s">
        <v>40</v>
      </c>
      <c r="C29" t="s">
        <v>150</v>
      </c>
      <c r="D29">
        <v>30</v>
      </c>
      <c r="E29">
        <v>38</v>
      </c>
      <c r="F29">
        <v>70</v>
      </c>
      <c r="G29">
        <v>89</v>
      </c>
      <c r="H29">
        <v>97</v>
      </c>
      <c r="I29">
        <f t="shared" si="2"/>
        <v>324</v>
      </c>
      <c r="J29" s="4">
        <v>500</v>
      </c>
      <c r="K29">
        <f t="shared" si="3"/>
        <v>0.64800000000000002</v>
      </c>
      <c r="L29">
        <f t="shared" si="1"/>
        <v>0.35199999999999998</v>
      </c>
    </row>
    <row r="30" spans="1:12" x14ac:dyDescent="0.25">
      <c r="A30" t="str">
        <f t="shared" si="4"/>
        <v>Emp_029</v>
      </c>
      <c r="B30" t="s">
        <v>41</v>
      </c>
      <c r="C30" t="s">
        <v>151</v>
      </c>
      <c r="D30">
        <v>65</v>
      </c>
      <c r="E30">
        <v>90</v>
      </c>
      <c r="F30">
        <v>91</v>
      </c>
      <c r="G30">
        <v>85</v>
      </c>
      <c r="H30">
        <v>10</v>
      </c>
      <c r="I30">
        <f t="shared" si="2"/>
        <v>341</v>
      </c>
      <c r="J30" s="4">
        <v>500</v>
      </c>
      <c r="K30">
        <f t="shared" si="3"/>
        <v>0.68200000000000005</v>
      </c>
      <c r="L30">
        <f t="shared" si="1"/>
        <v>0.31799999999999995</v>
      </c>
    </row>
    <row r="31" spans="1:12" x14ac:dyDescent="0.25">
      <c r="A31" t="str">
        <f t="shared" si="4"/>
        <v>Emp_030</v>
      </c>
      <c r="B31" t="s">
        <v>42</v>
      </c>
      <c r="C31" t="s">
        <v>152</v>
      </c>
      <c r="D31">
        <v>83</v>
      </c>
      <c r="E31">
        <v>46</v>
      </c>
      <c r="F31">
        <v>99</v>
      </c>
      <c r="G31">
        <v>36</v>
      </c>
      <c r="H31">
        <v>89</v>
      </c>
      <c r="I31">
        <f t="shared" si="2"/>
        <v>353</v>
      </c>
      <c r="J31" s="4">
        <v>500</v>
      </c>
      <c r="K31">
        <f t="shared" si="3"/>
        <v>0.70599999999999996</v>
      </c>
      <c r="L31">
        <f t="shared" si="1"/>
        <v>0.29400000000000004</v>
      </c>
    </row>
    <row r="32" spans="1:12" x14ac:dyDescent="0.25">
      <c r="A32" t="str">
        <f t="shared" si="4"/>
        <v>Emp_031</v>
      </c>
      <c r="B32" t="s">
        <v>43</v>
      </c>
      <c r="C32" t="s">
        <v>153</v>
      </c>
      <c r="D32">
        <v>10</v>
      </c>
      <c r="E32">
        <v>66</v>
      </c>
      <c r="F32">
        <v>40</v>
      </c>
      <c r="G32">
        <v>22</v>
      </c>
      <c r="H32">
        <v>38</v>
      </c>
      <c r="I32">
        <f t="shared" si="2"/>
        <v>176</v>
      </c>
      <c r="J32" s="4">
        <v>500</v>
      </c>
      <c r="K32">
        <f t="shared" si="3"/>
        <v>0.35199999999999998</v>
      </c>
      <c r="L32">
        <f t="shared" si="1"/>
        <v>0.64800000000000002</v>
      </c>
    </row>
    <row r="33" spans="1:12" x14ac:dyDescent="0.25">
      <c r="A33" t="str">
        <f t="shared" si="4"/>
        <v>Emp_032</v>
      </c>
      <c r="B33" t="s">
        <v>44</v>
      </c>
      <c r="C33" t="s">
        <v>154</v>
      </c>
      <c r="D33">
        <v>0</v>
      </c>
      <c r="E33">
        <v>2</v>
      </c>
      <c r="F33">
        <v>2</v>
      </c>
      <c r="G33">
        <v>2</v>
      </c>
      <c r="H33">
        <v>3</v>
      </c>
      <c r="I33">
        <f t="shared" si="2"/>
        <v>9</v>
      </c>
      <c r="J33" s="4">
        <v>500</v>
      </c>
      <c r="K33">
        <f t="shared" si="3"/>
        <v>1.7999999999999999E-2</v>
      </c>
      <c r="L33">
        <f t="shared" si="1"/>
        <v>0.98199999999999998</v>
      </c>
    </row>
    <row r="34" spans="1:12" x14ac:dyDescent="0.25">
      <c r="A34" t="str">
        <f t="shared" si="4"/>
        <v>Emp_033</v>
      </c>
      <c r="B34" t="s">
        <v>45</v>
      </c>
      <c r="C34" t="s">
        <v>147</v>
      </c>
      <c r="D34">
        <v>83</v>
      </c>
      <c r="E34">
        <v>46</v>
      </c>
      <c r="F34">
        <v>17</v>
      </c>
      <c r="G34">
        <v>94</v>
      </c>
      <c r="H34">
        <v>92</v>
      </c>
      <c r="I34">
        <f t="shared" si="2"/>
        <v>332</v>
      </c>
      <c r="J34" s="4">
        <v>500</v>
      </c>
      <c r="K34">
        <f t="shared" si="3"/>
        <v>0.66400000000000003</v>
      </c>
      <c r="L34">
        <f t="shared" si="1"/>
        <v>0.33599999999999997</v>
      </c>
    </row>
    <row r="35" spans="1:12" x14ac:dyDescent="0.25">
      <c r="A35" t="str">
        <f t="shared" si="4"/>
        <v>Emp_034</v>
      </c>
      <c r="B35" t="s">
        <v>46</v>
      </c>
      <c r="C35" t="s">
        <v>148</v>
      </c>
      <c r="D35">
        <v>84</v>
      </c>
      <c r="E35">
        <v>59</v>
      </c>
      <c r="F35">
        <v>41</v>
      </c>
      <c r="G35">
        <v>17</v>
      </c>
      <c r="H35">
        <v>22</v>
      </c>
      <c r="I35">
        <f t="shared" si="2"/>
        <v>223</v>
      </c>
      <c r="J35" s="4">
        <v>500</v>
      </c>
      <c r="K35">
        <f t="shared" si="3"/>
        <v>0.44600000000000001</v>
      </c>
      <c r="L35">
        <f t="shared" si="1"/>
        <v>0.55400000000000005</v>
      </c>
    </row>
    <row r="36" spans="1:12" x14ac:dyDescent="0.25">
      <c r="A36" t="str">
        <f t="shared" si="4"/>
        <v>Emp_035</v>
      </c>
      <c r="B36" t="s">
        <v>47</v>
      </c>
      <c r="C36" t="s">
        <v>149</v>
      </c>
      <c r="D36">
        <v>82</v>
      </c>
      <c r="E36">
        <v>54</v>
      </c>
      <c r="F36">
        <v>79</v>
      </c>
      <c r="G36">
        <v>61</v>
      </c>
      <c r="H36">
        <v>47</v>
      </c>
      <c r="I36">
        <f t="shared" si="2"/>
        <v>323</v>
      </c>
      <c r="J36" s="4">
        <v>500</v>
      </c>
      <c r="K36">
        <f t="shared" si="3"/>
        <v>0.64600000000000002</v>
      </c>
      <c r="L36">
        <f t="shared" si="1"/>
        <v>0.35399999999999998</v>
      </c>
    </row>
    <row r="37" spans="1:12" x14ac:dyDescent="0.25">
      <c r="A37" t="str">
        <f t="shared" si="4"/>
        <v>Emp_036</v>
      </c>
      <c r="B37" t="s">
        <v>48</v>
      </c>
      <c r="C37" t="s">
        <v>150</v>
      </c>
      <c r="D37">
        <v>47</v>
      </c>
      <c r="E37">
        <v>23</v>
      </c>
      <c r="F37">
        <v>19</v>
      </c>
      <c r="G37">
        <v>64</v>
      </c>
      <c r="H37">
        <v>61</v>
      </c>
      <c r="I37">
        <f t="shared" si="2"/>
        <v>214</v>
      </c>
      <c r="J37" s="4">
        <v>500</v>
      </c>
      <c r="K37">
        <f t="shared" si="3"/>
        <v>0.42799999999999999</v>
      </c>
      <c r="L37">
        <f t="shared" si="1"/>
        <v>0.57200000000000006</v>
      </c>
    </row>
    <row r="38" spans="1:12" x14ac:dyDescent="0.25">
      <c r="A38" t="str">
        <f t="shared" si="4"/>
        <v>Emp_037</v>
      </c>
      <c r="B38" t="s">
        <v>49</v>
      </c>
      <c r="C38" t="s">
        <v>151</v>
      </c>
      <c r="D38">
        <v>91</v>
      </c>
      <c r="E38">
        <v>13</v>
      </c>
      <c r="F38">
        <v>79</v>
      </c>
      <c r="G38">
        <v>85</v>
      </c>
      <c r="H38">
        <v>67</v>
      </c>
      <c r="I38">
        <f t="shared" si="2"/>
        <v>335</v>
      </c>
      <c r="J38" s="4">
        <v>500</v>
      </c>
      <c r="K38">
        <f t="shared" si="3"/>
        <v>0.67</v>
      </c>
      <c r="L38">
        <f t="shared" si="1"/>
        <v>0.32999999999999996</v>
      </c>
    </row>
    <row r="39" spans="1:12" x14ac:dyDescent="0.25">
      <c r="A39" t="str">
        <f t="shared" si="4"/>
        <v>Emp_038</v>
      </c>
      <c r="B39" t="s">
        <v>50</v>
      </c>
      <c r="C39" t="s">
        <v>152</v>
      </c>
      <c r="D39">
        <v>66</v>
      </c>
      <c r="E39">
        <v>59</v>
      </c>
      <c r="F39">
        <v>25</v>
      </c>
      <c r="G39">
        <v>55</v>
      </c>
      <c r="H39">
        <v>59</v>
      </c>
      <c r="I39">
        <f t="shared" si="2"/>
        <v>264</v>
      </c>
      <c r="J39" s="4">
        <v>500</v>
      </c>
      <c r="K39">
        <f t="shared" si="3"/>
        <v>0.52800000000000002</v>
      </c>
      <c r="L39">
        <f t="shared" si="1"/>
        <v>0.47199999999999998</v>
      </c>
    </row>
    <row r="40" spans="1:12" x14ac:dyDescent="0.25">
      <c r="A40" t="str">
        <f t="shared" si="4"/>
        <v>Emp_039</v>
      </c>
      <c r="B40" t="s">
        <v>51</v>
      </c>
      <c r="C40" t="s">
        <v>153</v>
      </c>
      <c r="D40">
        <v>70</v>
      </c>
      <c r="E40">
        <v>18</v>
      </c>
      <c r="F40">
        <v>88</v>
      </c>
      <c r="G40">
        <v>46</v>
      </c>
      <c r="H40">
        <v>52</v>
      </c>
      <c r="I40">
        <f t="shared" si="2"/>
        <v>274</v>
      </c>
      <c r="J40" s="4">
        <v>500</v>
      </c>
      <c r="K40">
        <f t="shared" si="3"/>
        <v>0.54800000000000004</v>
      </c>
      <c r="L40">
        <f t="shared" si="1"/>
        <v>0.45199999999999996</v>
      </c>
    </row>
    <row r="41" spans="1:12" x14ac:dyDescent="0.25">
      <c r="A41" t="str">
        <f t="shared" si="4"/>
        <v>Emp_040</v>
      </c>
      <c r="B41" t="s">
        <v>52</v>
      </c>
      <c r="C41" t="s">
        <v>154</v>
      </c>
      <c r="D41">
        <v>37</v>
      </c>
      <c r="E41">
        <v>60</v>
      </c>
      <c r="F41">
        <v>44</v>
      </c>
      <c r="G41">
        <v>61</v>
      </c>
      <c r="H41">
        <v>30</v>
      </c>
      <c r="I41">
        <f t="shared" si="2"/>
        <v>232</v>
      </c>
      <c r="J41" s="4">
        <v>500</v>
      </c>
      <c r="K41">
        <f t="shared" si="3"/>
        <v>0.46400000000000002</v>
      </c>
      <c r="L41">
        <f t="shared" si="1"/>
        <v>0.53600000000000003</v>
      </c>
    </row>
    <row r="42" spans="1:12" x14ac:dyDescent="0.25">
      <c r="A42" t="str">
        <f t="shared" si="4"/>
        <v>Emp_041</v>
      </c>
      <c r="B42" t="s">
        <v>53</v>
      </c>
      <c r="C42" t="s">
        <v>147</v>
      </c>
      <c r="D42">
        <v>16</v>
      </c>
      <c r="E42">
        <v>46</v>
      </c>
      <c r="F42">
        <v>33</v>
      </c>
      <c r="G42">
        <v>54</v>
      </c>
      <c r="H42">
        <v>58</v>
      </c>
      <c r="I42">
        <f t="shared" si="2"/>
        <v>207</v>
      </c>
      <c r="J42" s="4">
        <v>500</v>
      </c>
      <c r="K42">
        <f t="shared" si="3"/>
        <v>0.41399999999999998</v>
      </c>
      <c r="L42">
        <f t="shared" si="1"/>
        <v>0.58600000000000008</v>
      </c>
    </row>
    <row r="43" spans="1:12" x14ac:dyDescent="0.25">
      <c r="A43" t="str">
        <f t="shared" si="4"/>
        <v>Emp_042</v>
      </c>
      <c r="B43" t="s">
        <v>54</v>
      </c>
      <c r="C43" t="s">
        <v>148</v>
      </c>
      <c r="D43">
        <v>47</v>
      </c>
      <c r="E43">
        <v>97</v>
      </c>
      <c r="F43">
        <v>74</v>
      </c>
      <c r="G43">
        <v>97</v>
      </c>
      <c r="H43">
        <v>56</v>
      </c>
      <c r="I43">
        <f t="shared" si="2"/>
        <v>371</v>
      </c>
      <c r="J43" s="4">
        <v>500</v>
      </c>
      <c r="K43">
        <f t="shared" si="3"/>
        <v>0.74199999999999999</v>
      </c>
      <c r="L43">
        <f t="shared" si="1"/>
        <v>0.25800000000000001</v>
      </c>
    </row>
    <row r="44" spans="1:12" x14ac:dyDescent="0.25">
      <c r="A44" t="str">
        <f t="shared" si="4"/>
        <v>Emp_043</v>
      </c>
      <c r="B44" t="s">
        <v>55</v>
      </c>
      <c r="C44" t="s">
        <v>149</v>
      </c>
      <c r="D44">
        <v>86</v>
      </c>
      <c r="E44">
        <v>22</v>
      </c>
      <c r="F44">
        <v>10</v>
      </c>
      <c r="G44">
        <v>60</v>
      </c>
      <c r="H44">
        <v>28</v>
      </c>
      <c r="I44">
        <f t="shared" si="2"/>
        <v>206</v>
      </c>
      <c r="J44" s="4">
        <v>500</v>
      </c>
      <c r="K44">
        <f t="shared" si="3"/>
        <v>0.41199999999999998</v>
      </c>
      <c r="L44">
        <f t="shared" si="1"/>
        <v>0.58800000000000008</v>
      </c>
    </row>
    <row r="45" spans="1:12" x14ac:dyDescent="0.25">
      <c r="A45" t="str">
        <f t="shared" si="4"/>
        <v>Emp_044</v>
      </c>
      <c r="B45" t="s">
        <v>56</v>
      </c>
      <c r="C45" t="s">
        <v>150</v>
      </c>
      <c r="D45">
        <v>74</v>
      </c>
      <c r="E45">
        <v>17</v>
      </c>
      <c r="F45">
        <v>45</v>
      </c>
      <c r="G45">
        <v>64</v>
      </c>
      <c r="H45">
        <v>13</v>
      </c>
      <c r="I45">
        <f t="shared" si="2"/>
        <v>213</v>
      </c>
      <c r="J45" s="4">
        <v>500</v>
      </c>
      <c r="K45">
        <f t="shared" si="3"/>
        <v>0.42599999999999999</v>
      </c>
      <c r="L45">
        <f t="shared" si="1"/>
        <v>0.57400000000000007</v>
      </c>
    </row>
    <row r="46" spans="1:12" x14ac:dyDescent="0.25">
      <c r="A46" t="str">
        <f t="shared" si="4"/>
        <v>Emp_045</v>
      </c>
      <c r="B46" t="s">
        <v>57</v>
      </c>
      <c r="C46" t="s">
        <v>151</v>
      </c>
      <c r="D46">
        <v>80</v>
      </c>
      <c r="E46">
        <v>51</v>
      </c>
      <c r="F46">
        <v>15</v>
      </c>
      <c r="G46">
        <v>97</v>
      </c>
      <c r="H46">
        <v>42</v>
      </c>
      <c r="I46">
        <f t="shared" si="2"/>
        <v>285</v>
      </c>
      <c r="J46" s="4">
        <v>500</v>
      </c>
      <c r="K46">
        <f t="shared" si="3"/>
        <v>0.56999999999999995</v>
      </c>
      <c r="L46">
        <f t="shared" si="1"/>
        <v>0.43000000000000005</v>
      </c>
    </row>
    <row r="47" spans="1:12" x14ac:dyDescent="0.25">
      <c r="A47" t="str">
        <f t="shared" si="4"/>
        <v>Emp_046</v>
      </c>
      <c r="B47" t="s">
        <v>58</v>
      </c>
      <c r="C47" t="s">
        <v>152</v>
      </c>
      <c r="D47">
        <v>49</v>
      </c>
      <c r="E47">
        <v>82</v>
      </c>
      <c r="F47">
        <v>95</v>
      </c>
      <c r="G47">
        <v>46</v>
      </c>
      <c r="H47">
        <v>78</v>
      </c>
      <c r="I47">
        <f t="shared" si="2"/>
        <v>350</v>
      </c>
      <c r="J47" s="4">
        <v>500</v>
      </c>
      <c r="K47">
        <f t="shared" si="3"/>
        <v>0.7</v>
      </c>
      <c r="L47">
        <f t="shared" si="1"/>
        <v>0.30000000000000004</v>
      </c>
    </row>
    <row r="48" spans="1:12" x14ac:dyDescent="0.25">
      <c r="A48" t="str">
        <f t="shared" si="4"/>
        <v>Emp_047</v>
      </c>
      <c r="B48" t="s">
        <v>59</v>
      </c>
      <c r="C48" t="s">
        <v>153</v>
      </c>
      <c r="D48">
        <v>17</v>
      </c>
      <c r="E48">
        <v>88</v>
      </c>
      <c r="F48">
        <v>12</v>
      </c>
      <c r="G48">
        <v>54</v>
      </c>
      <c r="H48">
        <v>21</v>
      </c>
      <c r="I48">
        <f t="shared" si="2"/>
        <v>192</v>
      </c>
      <c r="J48" s="4">
        <v>500</v>
      </c>
      <c r="K48">
        <f t="shared" si="3"/>
        <v>0.38400000000000001</v>
      </c>
      <c r="L48">
        <f t="shared" si="1"/>
        <v>0.61599999999999999</v>
      </c>
    </row>
    <row r="49" spans="1:12" x14ac:dyDescent="0.25">
      <c r="A49" t="str">
        <f t="shared" si="4"/>
        <v>Emp_048</v>
      </c>
      <c r="B49" t="s">
        <v>60</v>
      </c>
      <c r="C49" t="s">
        <v>154</v>
      </c>
      <c r="D49">
        <v>74</v>
      </c>
      <c r="E49">
        <v>16</v>
      </c>
      <c r="F49">
        <v>74</v>
      </c>
      <c r="G49">
        <v>36</v>
      </c>
      <c r="H49">
        <v>33</v>
      </c>
      <c r="I49">
        <f t="shared" si="2"/>
        <v>233</v>
      </c>
      <c r="J49" s="4">
        <v>500</v>
      </c>
      <c r="K49">
        <f t="shared" si="3"/>
        <v>0.46600000000000003</v>
      </c>
      <c r="L49">
        <f t="shared" si="1"/>
        <v>0.53400000000000003</v>
      </c>
    </row>
    <row r="50" spans="1:12" x14ac:dyDescent="0.25">
      <c r="A50" t="str">
        <f t="shared" si="4"/>
        <v>Emp_049</v>
      </c>
      <c r="B50" t="s">
        <v>61</v>
      </c>
      <c r="C50" t="s">
        <v>147</v>
      </c>
      <c r="D50">
        <v>73</v>
      </c>
      <c r="E50">
        <v>72</v>
      </c>
      <c r="F50">
        <v>38</v>
      </c>
      <c r="G50">
        <v>19</v>
      </c>
      <c r="H50">
        <v>90</v>
      </c>
      <c r="I50">
        <f t="shared" si="2"/>
        <v>292</v>
      </c>
      <c r="J50" s="4">
        <v>500</v>
      </c>
      <c r="K50">
        <f t="shared" si="3"/>
        <v>0.58399999999999996</v>
      </c>
      <c r="L50">
        <f t="shared" si="1"/>
        <v>0.41600000000000004</v>
      </c>
    </row>
    <row r="51" spans="1:12" x14ac:dyDescent="0.25">
      <c r="A51" t="str">
        <f t="shared" si="4"/>
        <v>Emp_050</v>
      </c>
      <c r="B51" t="s">
        <v>62</v>
      </c>
      <c r="C51" t="s">
        <v>148</v>
      </c>
      <c r="D51">
        <v>17</v>
      </c>
      <c r="E51">
        <v>84</v>
      </c>
      <c r="F51">
        <v>90</v>
      </c>
      <c r="G51">
        <v>77</v>
      </c>
      <c r="H51">
        <v>72</v>
      </c>
      <c r="I51">
        <f t="shared" si="2"/>
        <v>340</v>
      </c>
      <c r="J51" s="4">
        <v>500</v>
      </c>
      <c r="K51">
        <f t="shared" si="3"/>
        <v>0.68</v>
      </c>
      <c r="L51">
        <f t="shared" si="1"/>
        <v>0.31999999999999995</v>
      </c>
    </row>
    <row r="52" spans="1:12" x14ac:dyDescent="0.25">
      <c r="A52" t="str">
        <f t="shared" si="4"/>
        <v>Emp_051</v>
      </c>
      <c r="B52" t="s">
        <v>63</v>
      </c>
      <c r="C52" t="s">
        <v>149</v>
      </c>
      <c r="D52">
        <v>52</v>
      </c>
      <c r="E52">
        <v>36</v>
      </c>
      <c r="F52">
        <v>84</v>
      </c>
      <c r="G52">
        <v>41</v>
      </c>
      <c r="H52">
        <v>57</v>
      </c>
      <c r="I52">
        <f t="shared" si="2"/>
        <v>270</v>
      </c>
      <c r="J52" s="4">
        <v>500</v>
      </c>
      <c r="K52">
        <f t="shared" si="3"/>
        <v>0.54</v>
      </c>
      <c r="L52">
        <f t="shared" si="1"/>
        <v>0.45999999999999996</v>
      </c>
    </row>
    <row r="53" spans="1:12" x14ac:dyDescent="0.25">
      <c r="A53" t="str">
        <f t="shared" si="4"/>
        <v>Emp_052</v>
      </c>
      <c r="B53" t="s">
        <v>64</v>
      </c>
      <c r="C53" t="s">
        <v>150</v>
      </c>
      <c r="D53">
        <v>65</v>
      </c>
      <c r="E53">
        <v>67</v>
      </c>
      <c r="F53">
        <v>72</v>
      </c>
      <c r="G53">
        <v>22</v>
      </c>
      <c r="H53">
        <v>23</v>
      </c>
      <c r="I53">
        <f t="shared" si="2"/>
        <v>249</v>
      </c>
      <c r="J53" s="4">
        <v>500</v>
      </c>
      <c r="K53">
        <f t="shared" si="3"/>
        <v>0.498</v>
      </c>
      <c r="L53">
        <f t="shared" si="1"/>
        <v>0.502</v>
      </c>
    </row>
    <row r="54" spans="1:12" x14ac:dyDescent="0.25">
      <c r="A54" t="str">
        <f t="shared" si="4"/>
        <v>Emp_053</v>
      </c>
      <c r="B54" t="s">
        <v>65</v>
      </c>
      <c r="C54" t="s">
        <v>151</v>
      </c>
      <c r="D54">
        <v>88</v>
      </c>
      <c r="E54">
        <v>39</v>
      </c>
      <c r="F54">
        <v>25</v>
      </c>
      <c r="G54">
        <v>99</v>
      </c>
      <c r="H54">
        <v>71</v>
      </c>
      <c r="I54">
        <f t="shared" si="2"/>
        <v>322</v>
      </c>
      <c r="J54" s="4">
        <v>500</v>
      </c>
      <c r="K54">
        <f t="shared" si="3"/>
        <v>0.64400000000000002</v>
      </c>
      <c r="L54">
        <f t="shared" si="1"/>
        <v>0.35599999999999998</v>
      </c>
    </row>
    <row r="55" spans="1:12" x14ac:dyDescent="0.25">
      <c r="A55" t="str">
        <f t="shared" si="4"/>
        <v>Emp_054</v>
      </c>
      <c r="B55" t="s">
        <v>66</v>
      </c>
      <c r="C55" t="s">
        <v>152</v>
      </c>
      <c r="D55">
        <v>23</v>
      </c>
      <c r="E55">
        <v>14</v>
      </c>
      <c r="F55">
        <v>15</v>
      </c>
      <c r="G55">
        <v>58</v>
      </c>
      <c r="H55">
        <v>79</v>
      </c>
      <c r="I55">
        <f t="shared" si="2"/>
        <v>189</v>
      </c>
      <c r="J55" s="4">
        <v>500</v>
      </c>
      <c r="K55">
        <f t="shared" si="3"/>
        <v>0.378</v>
      </c>
      <c r="L55">
        <f t="shared" si="1"/>
        <v>0.622</v>
      </c>
    </row>
    <row r="56" spans="1:12" x14ac:dyDescent="0.25">
      <c r="A56" t="str">
        <f t="shared" si="4"/>
        <v>Emp_055</v>
      </c>
      <c r="B56" t="s">
        <v>67</v>
      </c>
      <c r="C56" t="s">
        <v>153</v>
      </c>
      <c r="D56">
        <v>15</v>
      </c>
      <c r="E56">
        <v>67</v>
      </c>
      <c r="F56">
        <v>48</v>
      </c>
      <c r="G56">
        <v>95</v>
      </c>
      <c r="H56">
        <v>35</v>
      </c>
      <c r="I56">
        <f t="shared" si="2"/>
        <v>260</v>
      </c>
      <c r="J56" s="4">
        <v>500</v>
      </c>
      <c r="K56">
        <f t="shared" si="3"/>
        <v>0.52</v>
      </c>
      <c r="L56">
        <f t="shared" si="1"/>
        <v>0.48</v>
      </c>
    </row>
    <row r="57" spans="1:12" x14ac:dyDescent="0.25">
      <c r="A57" t="str">
        <f t="shared" si="4"/>
        <v>Emp_056</v>
      </c>
      <c r="B57" t="s">
        <v>68</v>
      </c>
      <c r="C57" t="s">
        <v>154</v>
      </c>
      <c r="D57">
        <v>18</v>
      </c>
      <c r="E57">
        <v>35</v>
      </c>
      <c r="F57">
        <v>82</v>
      </c>
      <c r="G57">
        <v>31</v>
      </c>
      <c r="H57">
        <v>26</v>
      </c>
      <c r="I57">
        <f t="shared" si="2"/>
        <v>192</v>
      </c>
      <c r="J57" s="4">
        <v>500</v>
      </c>
      <c r="K57">
        <f t="shared" si="3"/>
        <v>0.38400000000000001</v>
      </c>
      <c r="L57">
        <f t="shared" si="1"/>
        <v>0.61599999999999999</v>
      </c>
    </row>
    <row r="58" spans="1:12" x14ac:dyDescent="0.25">
      <c r="A58" t="str">
        <f t="shared" si="4"/>
        <v>Emp_057</v>
      </c>
      <c r="B58" t="s">
        <v>69</v>
      </c>
      <c r="C58" t="s">
        <v>147</v>
      </c>
      <c r="D58">
        <v>57</v>
      </c>
      <c r="E58">
        <v>60</v>
      </c>
      <c r="F58">
        <v>42</v>
      </c>
      <c r="G58">
        <v>81</v>
      </c>
      <c r="H58">
        <v>44</v>
      </c>
      <c r="I58">
        <f t="shared" si="2"/>
        <v>284</v>
      </c>
      <c r="J58" s="4">
        <v>500</v>
      </c>
      <c r="K58">
        <f t="shared" si="3"/>
        <v>0.56799999999999995</v>
      </c>
      <c r="L58">
        <f t="shared" si="1"/>
        <v>0.43200000000000005</v>
      </c>
    </row>
    <row r="59" spans="1:12" x14ac:dyDescent="0.25">
      <c r="A59" t="str">
        <f t="shared" si="4"/>
        <v>Emp_058</v>
      </c>
      <c r="B59" t="s">
        <v>70</v>
      </c>
      <c r="C59" t="s">
        <v>148</v>
      </c>
      <c r="D59">
        <v>34</v>
      </c>
      <c r="E59">
        <v>97</v>
      </c>
      <c r="F59">
        <v>66</v>
      </c>
      <c r="G59">
        <v>45</v>
      </c>
      <c r="H59">
        <v>50</v>
      </c>
      <c r="I59">
        <f t="shared" si="2"/>
        <v>292</v>
      </c>
      <c r="J59" s="4">
        <v>500</v>
      </c>
      <c r="K59">
        <f t="shared" si="3"/>
        <v>0.58399999999999996</v>
      </c>
      <c r="L59">
        <f t="shared" si="1"/>
        <v>0.41600000000000004</v>
      </c>
    </row>
    <row r="60" spans="1:12" x14ac:dyDescent="0.25">
      <c r="A60" t="str">
        <f t="shared" si="4"/>
        <v>Emp_059</v>
      </c>
      <c r="B60" t="s">
        <v>71</v>
      </c>
      <c r="C60" t="s">
        <v>149</v>
      </c>
      <c r="D60">
        <v>83</v>
      </c>
      <c r="E60">
        <v>12</v>
      </c>
      <c r="F60">
        <v>70</v>
      </c>
      <c r="G60">
        <v>83</v>
      </c>
      <c r="H60">
        <v>52</v>
      </c>
      <c r="I60">
        <f t="shared" si="2"/>
        <v>300</v>
      </c>
      <c r="J60" s="4">
        <v>500</v>
      </c>
      <c r="K60">
        <f t="shared" si="3"/>
        <v>0.6</v>
      </c>
      <c r="L60">
        <f t="shared" si="1"/>
        <v>0.4</v>
      </c>
    </row>
    <row r="61" spans="1:12" x14ac:dyDescent="0.25">
      <c r="A61" t="str">
        <f t="shared" si="4"/>
        <v>Emp_060</v>
      </c>
      <c r="B61" t="s">
        <v>72</v>
      </c>
      <c r="C61" t="s">
        <v>150</v>
      </c>
      <c r="D61">
        <v>76</v>
      </c>
      <c r="E61">
        <v>55</v>
      </c>
      <c r="F61">
        <v>56</v>
      </c>
      <c r="G61">
        <v>16</v>
      </c>
      <c r="H61">
        <v>61</v>
      </c>
      <c r="I61">
        <f t="shared" si="2"/>
        <v>264</v>
      </c>
      <c r="J61" s="4">
        <v>500</v>
      </c>
      <c r="K61">
        <f t="shared" si="3"/>
        <v>0.52800000000000002</v>
      </c>
      <c r="L61">
        <f t="shared" si="1"/>
        <v>0.47199999999999998</v>
      </c>
    </row>
    <row r="62" spans="1:12" x14ac:dyDescent="0.25">
      <c r="A62" t="str">
        <f t="shared" si="4"/>
        <v>Emp_061</v>
      </c>
      <c r="B62" t="s">
        <v>73</v>
      </c>
      <c r="C62" t="s">
        <v>151</v>
      </c>
      <c r="D62">
        <v>40</v>
      </c>
      <c r="E62">
        <v>70</v>
      </c>
      <c r="F62">
        <v>19</v>
      </c>
      <c r="G62">
        <v>36</v>
      </c>
      <c r="H62">
        <v>52</v>
      </c>
      <c r="I62">
        <f t="shared" si="2"/>
        <v>217</v>
      </c>
      <c r="J62" s="4">
        <v>500</v>
      </c>
      <c r="K62">
        <f t="shared" si="3"/>
        <v>0.434</v>
      </c>
      <c r="L62">
        <f t="shared" si="1"/>
        <v>0.56600000000000006</v>
      </c>
    </row>
    <row r="63" spans="1:12" x14ac:dyDescent="0.25">
      <c r="A63" t="str">
        <f t="shared" si="4"/>
        <v>Emp_062</v>
      </c>
      <c r="B63" t="s">
        <v>74</v>
      </c>
      <c r="C63" t="s">
        <v>152</v>
      </c>
      <c r="D63">
        <v>44</v>
      </c>
      <c r="E63">
        <v>60</v>
      </c>
      <c r="F63">
        <v>71</v>
      </c>
      <c r="G63">
        <v>34</v>
      </c>
      <c r="H63">
        <v>37</v>
      </c>
      <c r="I63">
        <f t="shared" si="2"/>
        <v>246</v>
      </c>
      <c r="J63" s="4">
        <v>500</v>
      </c>
      <c r="K63">
        <f t="shared" si="3"/>
        <v>0.49199999999999999</v>
      </c>
      <c r="L63">
        <f t="shared" si="1"/>
        <v>0.50800000000000001</v>
      </c>
    </row>
    <row r="64" spans="1:12" x14ac:dyDescent="0.25">
      <c r="A64" t="str">
        <f t="shared" si="4"/>
        <v>Emp_063</v>
      </c>
      <c r="B64" t="s">
        <v>75</v>
      </c>
      <c r="C64" t="s">
        <v>153</v>
      </c>
      <c r="D64">
        <v>43</v>
      </c>
      <c r="E64">
        <v>78</v>
      </c>
      <c r="F64">
        <v>15</v>
      </c>
      <c r="G64">
        <v>98</v>
      </c>
      <c r="H64">
        <v>33</v>
      </c>
      <c r="I64">
        <f t="shared" si="2"/>
        <v>267</v>
      </c>
      <c r="J64" s="4">
        <v>500</v>
      </c>
      <c r="K64">
        <f t="shared" si="3"/>
        <v>0.53400000000000003</v>
      </c>
      <c r="L64">
        <f t="shared" si="1"/>
        <v>0.46599999999999997</v>
      </c>
    </row>
    <row r="65" spans="1:12" x14ac:dyDescent="0.25">
      <c r="A65" t="str">
        <f t="shared" si="4"/>
        <v>Emp_064</v>
      </c>
      <c r="B65" t="s">
        <v>76</v>
      </c>
      <c r="C65" t="s">
        <v>154</v>
      </c>
      <c r="D65">
        <v>75</v>
      </c>
      <c r="E65">
        <v>75</v>
      </c>
      <c r="F65">
        <v>89</v>
      </c>
      <c r="G65">
        <v>97</v>
      </c>
      <c r="H65">
        <v>49</v>
      </c>
      <c r="I65">
        <f t="shared" si="2"/>
        <v>385</v>
      </c>
      <c r="J65" s="4">
        <v>500</v>
      </c>
      <c r="K65">
        <f t="shared" si="3"/>
        <v>0.77</v>
      </c>
      <c r="L65">
        <f t="shared" si="1"/>
        <v>0.22999999999999998</v>
      </c>
    </row>
    <row r="66" spans="1:12" x14ac:dyDescent="0.25">
      <c r="A66" t="str">
        <f t="shared" si="4"/>
        <v>Emp_065</v>
      </c>
      <c r="B66" t="s">
        <v>77</v>
      </c>
      <c r="C66" t="s">
        <v>147</v>
      </c>
      <c r="D66">
        <v>74</v>
      </c>
      <c r="E66">
        <v>51</v>
      </c>
      <c r="F66">
        <v>97</v>
      </c>
      <c r="G66">
        <v>73</v>
      </c>
      <c r="H66">
        <v>33</v>
      </c>
      <c r="I66">
        <f t="shared" si="2"/>
        <v>328</v>
      </c>
      <c r="J66" s="4">
        <v>500</v>
      </c>
      <c r="K66">
        <f t="shared" si="3"/>
        <v>0.65600000000000003</v>
      </c>
      <c r="L66">
        <f t="shared" si="1"/>
        <v>0.34399999999999997</v>
      </c>
    </row>
    <row r="67" spans="1:12" x14ac:dyDescent="0.25">
      <c r="A67" t="str">
        <f t="shared" si="4"/>
        <v>Emp_066</v>
      </c>
      <c r="B67" t="s">
        <v>78</v>
      </c>
      <c r="C67" t="s">
        <v>148</v>
      </c>
      <c r="D67">
        <v>44</v>
      </c>
      <c r="E67">
        <v>36</v>
      </c>
      <c r="F67">
        <v>11</v>
      </c>
      <c r="G67">
        <v>45</v>
      </c>
      <c r="H67">
        <v>30</v>
      </c>
      <c r="I67">
        <f t="shared" ref="I67:I130" si="5">SUM(D67:H67)</f>
        <v>166</v>
      </c>
      <c r="J67" s="4">
        <v>500</v>
      </c>
      <c r="K67">
        <f t="shared" ref="K67:K130" si="6">I67/J67</f>
        <v>0.33200000000000002</v>
      </c>
      <c r="L67">
        <f t="shared" ref="L67:L130" si="7">100%-K67</f>
        <v>0.66799999999999993</v>
      </c>
    </row>
    <row r="68" spans="1:12" x14ac:dyDescent="0.25">
      <c r="A68" t="str">
        <f t="shared" si="4"/>
        <v>Emp_067</v>
      </c>
      <c r="B68" t="s">
        <v>79</v>
      </c>
      <c r="C68" t="s">
        <v>149</v>
      </c>
      <c r="D68">
        <v>87</v>
      </c>
      <c r="E68">
        <v>79</v>
      </c>
      <c r="F68">
        <v>46</v>
      </c>
      <c r="G68">
        <v>65</v>
      </c>
      <c r="H68">
        <v>65</v>
      </c>
      <c r="I68">
        <f t="shared" si="5"/>
        <v>342</v>
      </c>
      <c r="J68" s="4">
        <v>500</v>
      </c>
      <c r="K68">
        <f t="shared" si="6"/>
        <v>0.68400000000000005</v>
      </c>
      <c r="L68">
        <f t="shared" si="7"/>
        <v>0.31599999999999995</v>
      </c>
    </row>
    <row r="69" spans="1:12" x14ac:dyDescent="0.25">
      <c r="A69" t="str">
        <f t="shared" si="4"/>
        <v>Emp_068</v>
      </c>
      <c r="B69" t="s">
        <v>80</v>
      </c>
      <c r="C69" t="s">
        <v>150</v>
      </c>
      <c r="D69">
        <v>70</v>
      </c>
      <c r="E69">
        <v>52</v>
      </c>
      <c r="F69">
        <v>80</v>
      </c>
      <c r="G69">
        <v>43</v>
      </c>
      <c r="H69">
        <v>48</v>
      </c>
      <c r="I69">
        <f t="shared" si="5"/>
        <v>293</v>
      </c>
      <c r="J69" s="4">
        <v>500</v>
      </c>
      <c r="K69">
        <f t="shared" si="6"/>
        <v>0.58599999999999997</v>
      </c>
      <c r="L69">
        <f t="shared" si="7"/>
        <v>0.41400000000000003</v>
      </c>
    </row>
    <row r="70" spans="1:12" x14ac:dyDescent="0.25">
      <c r="A70" t="str">
        <f t="shared" si="4"/>
        <v>Emp_069</v>
      </c>
      <c r="B70" t="s">
        <v>81</v>
      </c>
      <c r="C70" t="s">
        <v>151</v>
      </c>
      <c r="D70">
        <v>45</v>
      </c>
      <c r="E70">
        <v>26</v>
      </c>
      <c r="F70">
        <v>27</v>
      </c>
      <c r="G70">
        <v>14</v>
      </c>
      <c r="H70">
        <v>59</v>
      </c>
      <c r="I70">
        <f t="shared" si="5"/>
        <v>171</v>
      </c>
      <c r="J70" s="4">
        <v>500</v>
      </c>
      <c r="K70">
        <f t="shared" si="6"/>
        <v>0.34200000000000003</v>
      </c>
      <c r="L70">
        <f t="shared" si="7"/>
        <v>0.65799999999999992</v>
      </c>
    </row>
    <row r="71" spans="1:12" x14ac:dyDescent="0.25">
      <c r="A71" t="str">
        <f t="shared" si="4"/>
        <v>Emp_070</v>
      </c>
      <c r="B71" t="s">
        <v>82</v>
      </c>
      <c r="C71" t="s">
        <v>152</v>
      </c>
      <c r="D71">
        <v>51</v>
      </c>
      <c r="E71">
        <v>26</v>
      </c>
      <c r="F71">
        <v>58</v>
      </c>
      <c r="G71">
        <v>83</v>
      </c>
      <c r="H71">
        <v>11</v>
      </c>
      <c r="I71">
        <f t="shared" si="5"/>
        <v>229</v>
      </c>
      <c r="J71" s="4">
        <v>500</v>
      </c>
      <c r="K71">
        <f t="shared" si="6"/>
        <v>0.45800000000000002</v>
      </c>
      <c r="L71">
        <f t="shared" si="7"/>
        <v>0.54200000000000004</v>
      </c>
    </row>
    <row r="72" spans="1:12" x14ac:dyDescent="0.25">
      <c r="A72" t="str">
        <f t="shared" si="4"/>
        <v>Emp_071</v>
      </c>
      <c r="B72" t="s">
        <v>83</v>
      </c>
      <c r="C72" t="s">
        <v>153</v>
      </c>
      <c r="D72">
        <v>68</v>
      </c>
      <c r="E72">
        <v>36</v>
      </c>
      <c r="F72">
        <v>15</v>
      </c>
      <c r="G72">
        <v>20</v>
      </c>
      <c r="H72">
        <v>17</v>
      </c>
      <c r="I72">
        <f t="shared" si="5"/>
        <v>156</v>
      </c>
      <c r="J72" s="4">
        <v>500</v>
      </c>
      <c r="K72">
        <f t="shared" si="6"/>
        <v>0.312</v>
      </c>
      <c r="L72">
        <f t="shared" si="7"/>
        <v>0.68799999999999994</v>
      </c>
    </row>
    <row r="73" spans="1:12" x14ac:dyDescent="0.25">
      <c r="A73" t="str">
        <f t="shared" si="4"/>
        <v>Emp_072</v>
      </c>
      <c r="B73" t="s">
        <v>84</v>
      </c>
      <c r="C73" t="s">
        <v>154</v>
      </c>
      <c r="D73">
        <v>32</v>
      </c>
      <c r="E73">
        <v>74</v>
      </c>
      <c r="F73">
        <v>18</v>
      </c>
      <c r="G73">
        <v>33</v>
      </c>
      <c r="H73">
        <v>51</v>
      </c>
      <c r="I73">
        <f t="shared" si="5"/>
        <v>208</v>
      </c>
      <c r="J73" s="4">
        <v>500</v>
      </c>
      <c r="K73">
        <f t="shared" si="6"/>
        <v>0.41599999999999998</v>
      </c>
      <c r="L73">
        <f t="shared" si="7"/>
        <v>0.58400000000000007</v>
      </c>
    </row>
    <row r="74" spans="1:12" x14ac:dyDescent="0.25">
      <c r="A74" t="str">
        <f t="shared" si="4"/>
        <v>Emp_073</v>
      </c>
      <c r="B74" t="s">
        <v>85</v>
      </c>
      <c r="C74" t="s">
        <v>147</v>
      </c>
      <c r="D74">
        <v>41</v>
      </c>
      <c r="E74">
        <v>11</v>
      </c>
      <c r="F74">
        <v>46</v>
      </c>
      <c r="G74">
        <v>35</v>
      </c>
      <c r="H74">
        <v>10</v>
      </c>
      <c r="I74">
        <f t="shared" si="5"/>
        <v>143</v>
      </c>
      <c r="J74" s="4">
        <v>500</v>
      </c>
      <c r="K74">
        <f t="shared" si="6"/>
        <v>0.28599999999999998</v>
      </c>
      <c r="L74">
        <f t="shared" si="7"/>
        <v>0.71399999999999997</v>
      </c>
    </row>
    <row r="75" spans="1:12" x14ac:dyDescent="0.25">
      <c r="A75" t="str">
        <f t="shared" si="4"/>
        <v>Emp_074</v>
      </c>
      <c r="B75" t="s">
        <v>86</v>
      </c>
      <c r="C75" t="s">
        <v>148</v>
      </c>
      <c r="D75">
        <v>41</v>
      </c>
      <c r="E75">
        <v>17</v>
      </c>
      <c r="F75">
        <v>82</v>
      </c>
      <c r="G75">
        <v>75</v>
      </c>
      <c r="H75">
        <v>39</v>
      </c>
      <c r="I75">
        <f t="shared" si="5"/>
        <v>254</v>
      </c>
      <c r="J75" s="4">
        <v>500</v>
      </c>
      <c r="K75">
        <f t="shared" si="6"/>
        <v>0.50800000000000001</v>
      </c>
      <c r="L75">
        <f t="shared" si="7"/>
        <v>0.49199999999999999</v>
      </c>
    </row>
    <row r="76" spans="1:12" x14ac:dyDescent="0.25">
      <c r="A76" t="str">
        <f t="shared" ref="A76:A139" si="8">"Emp_" &amp; TEXT(ROW()-1, "000")</f>
        <v>Emp_075</v>
      </c>
      <c r="B76" t="s">
        <v>87</v>
      </c>
      <c r="C76" t="s">
        <v>149</v>
      </c>
      <c r="D76">
        <v>12</v>
      </c>
      <c r="E76">
        <v>97</v>
      </c>
      <c r="F76">
        <v>45</v>
      </c>
      <c r="G76">
        <v>29</v>
      </c>
      <c r="H76">
        <v>41</v>
      </c>
      <c r="I76">
        <f t="shared" si="5"/>
        <v>224</v>
      </c>
      <c r="J76" s="4">
        <v>500</v>
      </c>
      <c r="K76">
        <f t="shared" si="6"/>
        <v>0.44800000000000001</v>
      </c>
      <c r="L76">
        <f t="shared" si="7"/>
        <v>0.55200000000000005</v>
      </c>
    </row>
    <row r="77" spans="1:12" x14ac:dyDescent="0.25">
      <c r="A77" t="str">
        <f t="shared" si="8"/>
        <v>Emp_076</v>
      </c>
      <c r="B77" t="s">
        <v>88</v>
      </c>
      <c r="C77" t="s">
        <v>150</v>
      </c>
      <c r="D77">
        <v>19</v>
      </c>
      <c r="E77">
        <v>72</v>
      </c>
      <c r="F77">
        <v>87</v>
      </c>
      <c r="G77">
        <v>82</v>
      </c>
      <c r="H77">
        <v>27</v>
      </c>
      <c r="I77">
        <f t="shared" si="5"/>
        <v>287</v>
      </c>
      <c r="J77" s="4">
        <v>500</v>
      </c>
      <c r="K77">
        <f t="shared" si="6"/>
        <v>0.57399999999999995</v>
      </c>
      <c r="L77">
        <f t="shared" si="7"/>
        <v>0.42600000000000005</v>
      </c>
    </row>
    <row r="78" spans="1:12" x14ac:dyDescent="0.25">
      <c r="A78" t="str">
        <f t="shared" si="8"/>
        <v>Emp_077</v>
      </c>
      <c r="B78" t="s">
        <v>89</v>
      </c>
      <c r="C78" t="s">
        <v>151</v>
      </c>
      <c r="D78">
        <v>98</v>
      </c>
      <c r="E78">
        <v>15</v>
      </c>
      <c r="F78">
        <v>72</v>
      </c>
      <c r="G78">
        <v>67</v>
      </c>
      <c r="H78">
        <v>34</v>
      </c>
      <c r="I78">
        <f t="shared" si="5"/>
        <v>286</v>
      </c>
      <c r="J78" s="4">
        <v>500</v>
      </c>
      <c r="K78">
        <f t="shared" si="6"/>
        <v>0.57199999999999995</v>
      </c>
      <c r="L78">
        <f t="shared" si="7"/>
        <v>0.42800000000000005</v>
      </c>
    </row>
    <row r="79" spans="1:12" x14ac:dyDescent="0.25">
      <c r="A79" t="str">
        <f t="shared" si="8"/>
        <v>Emp_078</v>
      </c>
      <c r="B79" t="s">
        <v>90</v>
      </c>
      <c r="C79" t="s">
        <v>152</v>
      </c>
      <c r="D79">
        <v>50</v>
      </c>
      <c r="E79">
        <v>44</v>
      </c>
      <c r="F79">
        <v>46</v>
      </c>
      <c r="G79">
        <v>13</v>
      </c>
      <c r="H79">
        <v>92</v>
      </c>
      <c r="I79">
        <f t="shared" si="5"/>
        <v>245</v>
      </c>
      <c r="J79" s="4">
        <v>500</v>
      </c>
      <c r="K79">
        <f t="shared" si="6"/>
        <v>0.49</v>
      </c>
      <c r="L79">
        <f t="shared" si="7"/>
        <v>0.51</v>
      </c>
    </row>
    <row r="80" spans="1:12" x14ac:dyDescent="0.25">
      <c r="A80" t="str">
        <f t="shared" si="8"/>
        <v>Emp_079</v>
      </c>
      <c r="B80" t="s">
        <v>91</v>
      </c>
      <c r="C80" t="s">
        <v>153</v>
      </c>
      <c r="D80">
        <v>40</v>
      </c>
      <c r="E80">
        <v>82</v>
      </c>
      <c r="F80">
        <v>72</v>
      </c>
      <c r="G80">
        <v>42</v>
      </c>
      <c r="H80">
        <v>45</v>
      </c>
      <c r="I80">
        <f t="shared" si="5"/>
        <v>281</v>
      </c>
      <c r="J80" s="4">
        <v>500</v>
      </c>
      <c r="K80">
        <f t="shared" si="6"/>
        <v>0.56200000000000006</v>
      </c>
      <c r="L80">
        <f t="shared" si="7"/>
        <v>0.43799999999999994</v>
      </c>
    </row>
    <row r="81" spans="1:12" x14ac:dyDescent="0.25">
      <c r="A81" t="str">
        <f t="shared" si="8"/>
        <v>Emp_080</v>
      </c>
      <c r="B81" t="s">
        <v>92</v>
      </c>
      <c r="C81" t="s">
        <v>154</v>
      </c>
      <c r="D81">
        <v>23</v>
      </c>
      <c r="E81">
        <v>83</v>
      </c>
      <c r="F81">
        <v>63</v>
      </c>
      <c r="G81">
        <v>65</v>
      </c>
      <c r="H81">
        <v>83</v>
      </c>
      <c r="I81">
        <f t="shared" si="5"/>
        <v>317</v>
      </c>
      <c r="J81" s="4">
        <v>500</v>
      </c>
      <c r="K81">
        <f t="shared" si="6"/>
        <v>0.63400000000000001</v>
      </c>
      <c r="L81">
        <f t="shared" si="7"/>
        <v>0.36599999999999999</v>
      </c>
    </row>
    <row r="82" spans="1:12" x14ac:dyDescent="0.25">
      <c r="A82" t="str">
        <f t="shared" si="8"/>
        <v>Emp_081</v>
      </c>
      <c r="B82" t="s">
        <v>93</v>
      </c>
      <c r="C82" t="s">
        <v>147</v>
      </c>
      <c r="D82">
        <v>71</v>
      </c>
      <c r="E82">
        <v>94</v>
      </c>
      <c r="F82">
        <v>45</v>
      </c>
      <c r="G82">
        <v>95</v>
      </c>
      <c r="H82">
        <v>46</v>
      </c>
      <c r="I82">
        <f t="shared" si="5"/>
        <v>351</v>
      </c>
      <c r="J82" s="4">
        <v>500</v>
      </c>
      <c r="K82">
        <f t="shared" si="6"/>
        <v>0.70199999999999996</v>
      </c>
      <c r="L82">
        <f t="shared" si="7"/>
        <v>0.29800000000000004</v>
      </c>
    </row>
    <row r="83" spans="1:12" x14ac:dyDescent="0.25">
      <c r="A83" t="str">
        <f t="shared" si="8"/>
        <v>Emp_082</v>
      </c>
      <c r="B83" t="s">
        <v>94</v>
      </c>
      <c r="C83" t="s">
        <v>148</v>
      </c>
      <c r="D83">
        <v>48</v>
      </c>
      <c r="E83">
        <v>49</v>
      </c>
      <c r="F83">
        <v>68</v>
      </c>
      <c r="G83">
        <v>23</v>
      </c>
      <c r="H83">
        <v>21</v>
      </c>
      <c r="I83">
        <f t="shared" si="5"/>
        <v>209</v>
      </c>
      <c r="J83" s="4">
        <v>500</v>
      </c>
      <c r="K83">
        <f t="shared" si="6"/>
        <v>0.41799999999999998</v>
      </c>
      <c r="L83">
        <f t="shared" si="7"/>
        <v>0.58200000000000007</v>
      </c>
    </row>
    <row r="84" spans="1:12" x14ac:dyDescent="0.25">
      <c r="A84" t="str">
        <f t="shared" si="8"/>
        <v>Emp_083</v>
      </c>
      <c r="B84" t="s">
        <v>95</v>
      </c>
      <c r="C84" t="s">
        <v>149</v>
      </c>
      <c r="D84">
        <v>77</v>
      </c>
      <c r="E84">
        <v>83</v>
      </c>
      <c r="F84">
        <v>64</v>
      </c>
      <c r="G84">
        <v>53</v>
      </c>
      <c r="H84">
        <v>13</v>
      </c>
      <c r="I84">
        <f t="shared" si="5"/>
        <v>290</v>
      </c>
      <c r="J84" s="4">
        <v>500</v>
      </c>
      <c r="K84">
        <f t="shared" si="6"/>
        <v>0.57999999999999996</v>
      </c>
      <c r="L84">
        <f t="shared" si="7"/>
        <v>0.42000000000000004</v>
      </c>
    </row>
    <row r="85" spans="1:12" x14ac:dyDescent="0.25">
      <c r="A85" t="str">
        <f t="shared" si="8"/>
        <v>Emp_084</v>
      </c>
      <c r="B85" t="s">
        <v>96</v>
      </c>
      <c r="C85" t="s">
        <v>150</v>
      </c>
      <c r="D85">
        <v>81</v>
      </c>
      <c r="E85">
        <v>63</v>
      </c>
      <c r="F85">
        <v>88</v>
      </c>
      <c r="G85">
        <v>89</v>
      </c>
      <c r="H85">
        <v>63</v>
      </c>
      <c r="I85">
        <f t="shared" si="5"/>
        <v>384</v>
      </c>
      <c r="J85" s="4">
        <v>500</v>
      </c>
      <c r="K85">
        <f t="shared" si="6"/>
        <v>0.76800000000000002</v>
      </c>
      <c r="L85">
        <f t="shared" si="7"/>
        <v>0.23199999999999998</v>
      </c>
    </row>
    <row r="86" spans="1:12" x14ac:dyDescent="0.25">
      <c r="A86" t="str">
        <f t="shared" si="8"/>
        <v>Emp_085</v>
      </c>
      <c r="B86" t="s">
        <v>97</v>
      </c>
      <c r="C86" t="s">
        <v>151</v>
      </c>
      <c r="D86">
        <v>39</v>
      </c>
      <c r="E86">
        <v>87</v>
      </c>
      <c r="F86">
        <v>62</v>
      </c>
      <c r="G86">
        <v>80</v>
      </c>
      <c r="H86">
        <v>81</v>
      </c>
      <c r="I86">
        <f t="shared" si="5"/>
        <v>349</v>
      </c>
      <c r="J86" s="4">
        <v>500</v>
      </c>
      <c r="K86">
        <f t="shared" si="6"/>
        <v>0.69799999999999995</v>
      </c>
      <c r="L86">
        <f t="shared" si="7"/>
        <v>0.30200000000000005</v>
      </c>
    </row>
    <row r="87" spans="1:12" x14ac:dyDescent="0.25">
      <c r="A87" t="str">
        <f t="shared" si="8"/>
        <v>Emp_086</v>
      </c>
      <c r="B87" t="s">
        <v>98</v>
      </c>
      <c r="C87" t="s">
        <v>152</v>
      </c>
      <c r="D87">
        <v>46</v>
      </c>
      <c r="E87">
        <v>19</v>
      </c>
      <c r="F87">
        <v>59</v>
      </c>
      <c r="G87">
        <v>58</v>
      </c>
      <c r="H87">
        <v>33</v>
      </c>
      <c r="I87">
        <f t="shared" si="5"/>
        <v>215</v>
      </c>
      <c r="J87" s="4">
        <v>500</v>
      </c>
      <c r="K87">
        <f t="shared" si="6"/>
        <v>0.43</v>
      </c>
      <c r="L87">
        <f t="shared" si="7"/>
        <v>0.57000000000000006</v>
      </c>
    </row>
    <row r="88" spans="1:12" x14ac:dyDescent="0.25">
      <c r="A88" t="str">
        <f t="shared" si="8"/>
        <v>Emp_087</v>
      </c>
      <c r="B88" t="s">
        <v>99</v>
      </c>
      <c r="C88" t="s">
        <v>153</v>
      </c>
      <c r="D88">
        <v>34</v>
      </c>
      <c r="E88">
        <v>15</v>
      </c>
      <c r="F88">
        <v>43</v>
      </c>
      <c r="G88">
        <v>63</v>
      </c>
      <c r="H88">
        <v>54</v>
      </c>
      <c r="I88">
        <f t="shared" si="5"/>
        <v>209</v>
      </c>
      <c r="J88" s="4">
        <v>500</v>
      </c>
      <c r="K88">
        <f t="shared" si="6"/>
        <v>0.41799999999999998</v>
      </c>
      <c r="L88">
        <f t="shared" si="7"/>
        <v>0.58200000000000007</v>
      </c>
    </row>
    <row r="89" spans="1:12" x14ac:dyDescent="0.25">
      <c r="A89" t="str">
        <f t="shared" si="8"/>
        <v>Emp_088</v>
      </c>
      <c r="B89" t="s">
        <v>100</v>
      </c>
      <c r="C89" t="s">
        <v>154</v>
      </c>
      <c r="D89">
        <v>32</v>
      </c>
      <c r="E89">
        <v>79</v>
      </c>
      <c r="F89">
        <v>65</v>
      </c>
      <c r="G89">
        <v>57</v>
      </c>
      <c r="H89">
        <v>73</v>
      </c>
      <c r="I89">
        <f t="shared" si="5"/>
        <v>306</v>
      </c>
      <c r="J89" s="4">
        <v>500</v>
      </c>
      <c r="K89">
        <f t="shared" si="6"/>
        <v>0.61199999999999999</v>
      </c>
      <c r="L89">
        <f t="shared" si="7"/>
        <v>0.38800000000000001</v>
      </c>
    </row>
    <row r="90" spans="1:12" x14ac:dyDescent="0.25">
      <c r="A90" t="str">
        <f t="shared" si="8"/>
        <v>Emp_089</v>
      </c>
      <c r="B90" t="s">
        <v>101</v>
      </c>
      <c r="C90" t="s">
        <v>147</v>
      </c>
      <c r="D90">
        <v>72</v>
      </c>
      <c r="E90">
        <v>82</v>
      </c>
      <c r="F90">
        <v>58</v>
      </c>
      <c r="G90">
        <v>36</v>
      </c>
      <c r="H90">
        <v>33</v>
      </c>
      <c r="I90">
        <f t="shared" si="5"/>
        <v>281</v>
      </c>
      <c r="J90" s="4">
        <v>500</v>
      </c>
      <c r="K90">
        <f t="shared" si="6"/>
        <v>0.56200000000000006</v>
      </c>
      <c r="L90">
        <f t="shared" si="7"/>
        <v>0.43799999999999994</v>
      </c>
    </row>
    <row r="91" spans="1:12" x14ac:dyDescent="0.25">
      <c r="A91" t="str">
        <f t="shared" si="8"/>
        <v>Emp_090</v>
      </c>
      <c r="B91" t="s">
        <v>102</v>
      </c>
      <c r="C91" t="s">
        <v>148</v>
      </c>
      <c r="D91">
        <v>11</v>
      </c>
      <c r="E91">
        <v>69</v>
      </c>
      <c r="F91">
        <v>49</v>
      </c>
      <c r="G91">
        <v>90</v>
      </c>
      <c r="H91">
        <v>99</v>
      </c>
      <c r="I91">
        <f t="shared" si="5"/>
        <v>318</v>
      </c>
      <c r="J91" s="4">
        <v>500</v>
      </c>
      <c r="K91">
        <f t="shared" si="6"/>
        <v>0.63600000000000001</v>
      </c>
      <c r="L91">
        <f t="shared" si="7"/>
        <v>0.36399999999999999</v>
      </c>
    </row>
    <row r="92" spans="1:12" x14ac:dyDescent="0.25">
      <c r="A92" t="str">
        <f t="shared" si="8"/>
        <v>Emp_091</v>
      </c>
      <c r="B92" t="s">
        <v>103</v>
      </c>
      <c r="C92" t="s">
        <v>149</v>
      </c>
      <c r="D92">
        <v>80</v>
      </c>
      <c r="E92">
        <v>73</v>
      </c>
      <c r="F92">
        <v>21</v>
      </c>
      <c r="G92">
        <v>72</v>
      </c>
      <c r="H92">
        <v>54</v>
      </c>
      <c r="I92">
        <f t="shared" si="5"/>
        <v>300</v>
      </c>
      <c r="J92" s="4">
        <v>500</v>
      </c>
      <c r="K92">
        <f t="shared" si="6"/>
        <v>0.6</v>
      </c>
      <c r="L92">
        <f t="shared" si="7"/>
        <v>0.4</v>
      </c>
    </row>
    <row r="93" spans="1:12" x14ac:dyDescent="0.25">
      <c r="A93" t="str">
        <f t="shared" si="8"/>
        <v>Emp_092</v>
      </c>
      <c r="B93" t="s">
        <v>104</v>
      </c>
      <c r="C93" t="s">
        <v>150</v>
      </c>
      <c r="D93">
        <v>93</v>
      </c>
      <c r="E93">
        <v>42</v>
      </c>
      <c r="F93">
        <v>38</v>
      </c>
      <c r="G93">
        <v>98</v>
      </c>
      <c r="H93">
        <v>10</v>
      </c>
      <c r="I93">
        <f t="shared" si="5"/>
        <v>281</v>
      </c>
      <c r="J93" s="4">
        <v>500</v>
      </c>
      <c r="K93">
        <f t="shared" si="6"/>
        <v>0.56200000000000006</v>
      </c>
      <c r="L93">
        <f t="shared" si="7"/>
        <v>0.43799999999999994</v>
      </c>
    </row>
    <row r="94" spans="1:12" x14ac:dyDescent="0.25">
      <c r="A94" t="str">
        <f t="shared" si="8"/>
        <v>Emp_093</v>
      </c>
      <c r="B94" t="s">
        <v>22</v>
      </c>
      <c r="C94" t="s">
        <v>151</v>
      </c>
      <c r="D94">
        <v>18</v>
      </c>
      <c r="E94">
        <v>80</v>
      </c>
      <c r="F94">
        <v>20</v>
      </c>
      <c r="G94">
        <v>32</v>
      </c>
      <c r="H94">
        <v>95</v>
      </c>
      <c r="I94">
        <f t="shared" si="5"/>
        <v>245</v>
      </c>
      <c r="J94" s="4">
        <v>500</v>
      </c>
      <c r="K94">
        <f t="shared" si="6"/>
        <v>0.49</v>
      </c>
      <c r="L94">
        <f t="shared" si="7"/>
        <v>0.51</v>
      </c>
    </row>
    <row r="95" spans="1:12" x14ac:dyDescent="0.25">
      <c r="A95" t="str">
        <f t="shared" si="8"/>
        <v>Emp_094</v>
      </c>
      <c r="B95" t="s">
        <v>105</v>
      </c>
      <c r="C95" t="s">
        <v>152</v>
      </c>
      <c r="D95">
        <v>96</v>
      </c>
      <c r="E95">
        <v>14</v>
      </c>
      <c r="F95">
        <v>20</v>
      </c>
      <c r="G95">
        <v>31</v>
      </c>
      <c r="H95">
        <v>44</v>
      </c>
      <c r="I95">
        <f t="shared" si="5"/>
        <v>205</v>
      </c>
      <c r="J95" s="4">
        <v>500</v>
      </c>
      <c r="K95">
        <f t="shared" si="6"/>
        <v>0.41</v>
      </c>
      <c r="L95">
        <f t="shared" si="7"/>
        <v>0.59000000000000008</v>
      </c>
    </row>
    <row r="96" spans="1:12" x14ac:dyDescent="0.25">
      <c r="A96" t="str">
        <f t="shared" si="8"/>
        <v>Emp_095</v>
      </c>
      <c r="B96" t="s">
        <v>106</v>
      </c>
      <c r="C96" t="s">
        <v>153</v>
      </c>
      <c r="D96">
        <v>37</v>
      </c>
      <c r="E96">
        <v>60</v>
      </c>
      <c r="F96">
        <v>50</v>
      </c>
      <c r="G96">
        <v>68</v>
      </c>
      <c r="H96">
        <v>19</v>
      </c>
      <c r="I96">
        <f t="shared" si="5"/>
        <v>234</v>
      </c>
      <c r="J96" s="4">
        <v>500</v>
      </c>
      <c r="K96">
        <f t="shared" si="6"/>
        <v>0.46800000000000003</v>
      </c>
      <c r="L96">
        <f t="shared" si="7"/>
        <v>0.53200000000000003</v>
      </c>
    </row>
    <row r="97" spans="1:12" x14ac:dyDescent="0.25">
      <c r="A97" t="str">
        <f t="shared" si="8"/>
        <v>Emp_096</v>
      </c>
      <c r="B97" t="s">
        <v>107</v>
      </c>
      <c r="C97" t="s">
        <v>154</v>
      </c>
      <c r="D97">
        <v>35</v>
      </c>
      <c r="E97">
        <v>79</v>
      </c>
      <c r="F97">
        <v>17</v>
      </c>
      <c r="G97">
        <v>85</v>
      </c>
      <c r="H97">
        <v>16</v>
      </c>
      <c r="I97">
        <f t="shared" si="5"/>
        <v>232</v>
      </c>
      <c r="J97" s="4">
        <v>500</v>
      </c>
      <c r="K97">
        <f t="shared" si="6"/>
        <v>0.46400000000000002</v>
      </c>
      <c r="L97">
        <f t="shared" si="7"/>
        <v>0.53600000000000003</v>
      </c>
    </row>
    <row r="98" spans="1:12" x14ac:dyDescent="0.25">
      <c r="A98" t="str">
        <f t="shared" si="8"/>
        <v>Emp_097</v>
      </c>
      <c r="B98" t="s">
        <v>108</v>
      </c>
      <c r="C98" t="s">
        <v>147</v>
      </c>
      <c r="D98">
        <v>31</v>
      </c>
      <c r="E98">
        <v>48</v>
      </c>
      <c r="F98">
        <v>56</v>
      </c>
      <c r="G98">
        <v>85</v>
      </c>
      <c r="H98">
        <v>25</v>
      </c>
      <c r="I98">
        <f t="shared" si="5"/>
        <v>245</v>
      </c>
      <c r="J98" s="4">
        <v>500</v>
      </c>
      <c r="K98">
        <f t="shared" si="6"/>
        <v>0.49</v>
      </c>
      <c r="L98">
        <f t="shared" si="7"/>
        <v>0.51</v>
      </c>
    </row>
    <row r="99" spans="1:12" x14ac:dyDescent="0.25">
      <c r="A99" t="str">
        <f t="shared" si="8"/>
        <v>Emp_098</v>
      </c>
      <c r="B99" t="s">
        <v>109</v>
      </c>
      <c r="C99" t="s">
        <v>148</v>
      </c>
      <c r="D99">
        <v>23</v>
      </c>
      <c r="E99">
        <v>83</v>
      </c>
      <c r="F99">
        <v>86</v>
      </c>
      <c r="G99">
        <v>69</v>
      </c>
      <c r="H99">
        <v>25</v>
      </c>
      <c r="I99">
        <f t="shared" si="5"/>
        <v>286</v>
      </c>
      <c r="J99" s="4">
        <v>500</v>
      </c>
      <c r="K99">
        <f t="shared" si="6"/>
        <v>0.57199999999999995</v>
      </c>
      <c r="L99">
        <f t="shared" si="7"/>
        <v>0.42800000000000005</v>
      </c>
    </row>
    <row r="100" spans="1:12" x14ac:dyDescent="0.25">
      <c r="A100" t="str">
        <f t="shared" si="8"/>
        <v>Emp_099</v>
      </c>
      <c r="B100" t="s">
        <v>103</v>
      </c>
      <c r="C100" t="s">
        <v>149</v>
      </c>
      <c r="D100">
        <v>17</v>
      </c>
      <c r="E100">
        <v>56</v>
      </c>
      <c r="F100">
        <v>44</v>
      </c>
      <c r="G100">
        <v>2</v>
      </c>
      <c r="H100">
        <v>76</v>
      </c>
      <c r="I100">
        <f t="shared" si="5"/>
        <v>195</v>
      </c>
      <c r="J100" s="4">
        <v>500</v>
      </c>
      <c r="K100">
        <f t="shared" si="6"/>
        <v>0.39</v>
      </c>
      <c r="L100">
        <f t="shared" si="7"/>
        <v>0.61</v>
      </c>
    </row>
    <row r="101" spans="1:12" x14ac:dyDescent="0.25">
      <c r="A101" t="str">
        <f t="shared" si="8"/>
        <v>Emp_100</v>
      </c>
      <c r="B101" t="s">
        <v>21</v>
      </c>
      <c r="C101" t="s">
        <v>150</v>
      </c>
      <c r="D101">
        <v>92</v>
      </c>
      <c r="E101">
        <v>45</v>
      </c>
      <c r="F101">
        <v>43</v>
      </c>
      <c r="G101">
        <v>91</v>
      </c>
      <c r="H101">
        <v>47</v>
      </c>
      <c r="I101">
        <f t="shared" si="5"/>
        <v>318</v>
      </c>
      <c r="J101" s="4">
        <v>500</v>
      </c>
      <c r="K101">
        <f t="shared" si="6"/>
        <v>0.63600000000000001</v>
      </c>
      <c r="L101">
        <f t="shared" si="7"/>
        <v>0.36399999999999999</v>
      </c>
    </row>
    <row r="102" spans="1:12" x14ac:dyDescent="0.25">
      <c r="A102" t="str">
        <f t="shared" si="8"/>
        <v>Emp_101</v>
      </c>
      <c r="B102" t="s">
        <v>110</v>
      </c>
      <c r="C102" t="s">
        <v>151</v>
      </c>
      <c r="D102">
        <v>49</v>
      </c>
      <c r="E102">
        <v>77</v>
      </c>
      <c r="F102">
        <v>18</v>
      </c>
      <c r="G102">
        <v>69</v>
      </c>
      <c r="H102">
        <v>55</v>
      </c>
      <c r="I102">
        <f t="shared" si="5"/>
        <v>268</v>
      </c>
      <c r="J102" s="4">
        <v>500</v>
      </c>
      <c r="K102">
        <f t="shared" si="6"/>
        <v>0.53600000000000003</v>
      </c>
      <c r="L102">
        <f t="shared" si="7"/>
        <v>0.46399999999999997</v>
      </c>
    </row>
    <row r="103" spans="1:12" x14ac:dyDescent="0.25">
      <c r="A103" t="str">
        <f t="shared" si="8"/>
        <v>Emp_102</v>
      </c>
      <c r="B103" t="s">
        <v>111</v>
      </c>
      <c r="C103" t="s">
        <v>152</v>
      </c>
      <c r="D103">
        <v>81</v>
      </c>
      <c r="E103">
        <v>88</v>
      </c>
      <c r="F103">
        <v>19</v>
      </c>
      <c r="G103">
        <v>95</v>
      </c>
      <c r="H103">
        <v>39</v>
      </c>
      <c r="I103">
        <f t="shared" si="5"/>
        <v>322</v>
      </c>
      <c r="J103" s="4">
        <v>500</v>
      </c>
      <c r="K103">
        <f t="shared" si="6"/>
        <v>0.64400000000000002</v>
      </c>
      <c r="L103">
        <f t="shared" si="7"/>
        <v>0.35599999999999998</v>
      </c>
    </row>
    <row r="104" spans="1:12" x14ac:dyDescent="0.25">
      <c r="A104" t="str">
        <f t="shared" si="8"/>
        <v>Emp_103</v>
      </c>
      <c r="B104" t="s">
        <v>112</v>
      </c>
      <c r="C104" t="s">
        <v>153</v>
      </c>
      <c r="D104">
        <v>55</v>
      </c>
      <c r="E104">
        <v>14</v>
      </c>
      <c r="F104">
        <v>41</v>
      </c>
      <c r="G104">
        <v>40</v>
      </c>
      <c r="H104">
        <v>70</v>
      </c>
      <c r="I104">
        <f t="shared" si="5"/>
        <v>220</v>
      </c>
      <c r="J104" s="4">
        <v>500</v>
      </c>
      <c r="K104">
        <f t="shared" si="6"/>
        <v>0.44</v>
      </c>
      <c r="L104">
        <f t="shared" si="7"/>
        <v>0.56000000000000005</v>
      </c>
    </row>
    <row r="105" spans="1:12" x14ac:dyDescent="0.25">
      <c r="A105" t="str">
        <f t="shared" si="8"/>
        <v>Emp_104</v>
      </c>
      <c r="B105" t="s">
        <v>113</v>
      </c>
      <c r="C105" t="s">
        <v>154</v>
      </c>
      <c r="D105">
        <v>86</v>
      </c>
      <c r="E105">
        <v>13</v>
      </c>
      <c r="F105">
        <v>99</v>
      </c>
      <c r="G105">
        <v>25</v>
      </c>
      <c r="H105">
        <v>83</v>
      </c>
      <c r="I105">
        <f t="shared" si="5"/>
        <v>306</v>
      </c>
      <c r="J105" s="4">
        <v>500</v>
      </c>
      <c r="K105">
        <f t="shared" si="6"/>
        <v>0.61199999999999999</v>
      </c>
      <c r="L105">
        <f t="shared" si="7"/>
        <v>0.38800000000000001</v>
      </c>
    </row>
    <row r="106" spans="1:12" x14ac:dyDescent="0.25">
      <c r="A106" t="str">
        <f t="shared" si="8"/>
        <v>Emp_105</v>
      </c>
      <c r="B106" t="s">
        <v>114</v>
      </c>
      <c r="C106" t="s">
        <v>147</v>
      </c>
      <c r="D106">
        <v>88</v>
      </c>
      <c r="E106">
        <v>96</v>
      </c>
      <c r="F106">
        <v>16</v>
      </c>
      <c r="G106">
        <v>65</v>
      </c>
      <c r="H106">
        <v>86</v>
      </c>
      <c r="I106">
        <f t="shared" si="5"/>
        <v>351</v>
      </c>
      <c r="J106" s="4">
        <v>500</v>
      </c>
      <c r="K106">
        <f t="shared" si="6"/>
        <v>0.70199999999999996</v>
      </c>
      <c r="L106">
        <f t="shared" si="7"/>
        <v>0.29800000000000004</v>
      </c>
    </row>
    <row r="107" spans="1:12" x14ac:dyDescent="0.25">
      <c r="A107" t="str">
        <f t="shared" si="8"/>
        <v>Emp_106</v>
      </c>
      <c r="B107" t="s">
        <v>115</v>
      </c>
      <c r="C107" t="s">
        <v>148</v>
      </c>
      <c r="D107">
        <v>61</v>
      </c>
      <c r="E107">
        <v>73</v>
      </c>
      <c r="F107">
        <v>34</v>
      </c>
      <c r="G107">
        <v>30</v>
      </c>
      <c r="H107">
        <v>30</v>
      </c>
      <c r="I107">
        <f t="shared" si="5"/>
        <v>228</v>
      </c>
      <c r="J107" s="4">
        <v>500</v>
      </c>
      <c r="K107">
        <f t="shared" si="6"/>
        <v>0.45600000000000002</v>
      </c>
      <c r="L107">
        <f t="shared" si="7"/>
        <v>0.54400000000000004</v>
      </c>
    </row>
    <row r="108" spans="1:12" x14ac:dyDescent="0.25">
      <c r="A108" t="str">
        <f t="shared" si="8"/>
        <v>Emp_107</v>
      </c>
      <c r="B108" t="s">
        <v>116</v>
      </c>
      <c r="C108" t="s">
        <v>149</v>
      </c>
      <c r="D108">
        <v>61</v>
      </c>
      <c r="E108">
        <v>91</v>
      </c>
      <c r="F108">
        <v>53</v>
      </c>
      <c r="G108">
        <v>78</v>
      </c>
      <c r="H108">
        <v>91</v>
      </c>
      <c r="I108">
        <f t="shared" si="5"/>
        <v>374</v>
      </c>
      <c r="J108" s="4">
        <v>500</v>
      </c>
      <c r="K108">
        <f t="shared" si="6"/>
        <v>0.748</v>
      </c>
      <c r="L108">
        <f t="shared" si="7"/>
        <v>0.252</v>
      </c>
    </row>
    <row r="109" spans="1:12" x14ac:dyDescent="0.25">
      <c r="A109" t="str">
        <f t="shared" si="8"/>
        <v>Emp_108</v>
      </c>
      <c r="B109" t="s">
        <v>117</v>
      </c>
      <c r="C109" t="s">
        <v>150</v>
      </c>
      <c r="D109">
        <v>75</v>
      </c>
      <c r="E109">
        <v>53</v>
      </c>
      <c r="F109">
        <v>27</v>
      </c>
      <c r="G109">
        <v>26</v>
      </c>
      <c r="H109">
        <v>30</v>
      </c>
      <c r="I109">
        <f t="shared" si="5"/>
        <v>211</v>
      </c>
      <c r="J109" s="4">
        <v>500</v>
      </c>
      <c r="K109">
        <f t="shared" si="6"/>
        <v>0.42199999999999999</v>
      </c>
      <c r="L109">
        <f t="shared" si="7"/>
        <v>0.57800000000000007</v>
      </c>
    </row>
    <row r="110" spans="1:12" x14ac:dyDescent="0.25">
      <c r="A110" t="str">
        <f t="shared" si="8"/>
        <v>Emp_109</v>
      </c>
      <c r="B110" t="s">
        <v>118</v>
      </c>
      <c r="C110" t="s">
        <v>151</v>
      </c>
      <c r="D110">
        <v>24</v>
      </c>
      <c r="E110">
        <v>31</v>
      </c>
      <c r="F110">
        <v>41</v>
      </c>
      <c r="G110">
        <v>57</v>
      </c>
      <c r="H110">
        <v>83</v>
      </c>
      <c r="I110">
        <f t="shared" si="5"/>
        <v>236</v>
      </c>
      <c r="J110" s="4">
        <v>500</v>
      </c>
      <c r="K110">
        <f t="shared" si="6"/>
        <v>0.47199999999999998</v>
      </c>
      <c r="L110">
        <f t="shared" si="7"/>
        <v>0.52800000000000002</v>
      </c>
    </row>
    <row r="111" spans="1:12" x14ac:dyDescent="0.25">
      <c r="A111" t="str">
        <f t="shared" si="8"/>
        <v>Emp_110</v>
      </c>
      <c r="B111" t="s">
        <v>119</v>
      </c>
      <c r="C111" t="s">
        <v>152</v>
      </c>
      <c r="D111">
        <v>83</v>
      </c>
      <c r="E111">
        <v>62</v>
      </c>
      <c r="F111">
        <v>32</v>
      </c>
      <c r="G111">
        <v>83</v>
      </c>
      <c r="H111">
        <v>95</v>
      </c>
      <c r="I111">
        <f t="shared" si="5"/>
        <v>355</v>
      </c>
      <c r="J111" s="4">
        <v>500</v>
      </c>
      <c r="K111">
        <f t="shared" si="6"/>
        <v>0.71</v>
      </c>
      <c r="L111">
        <f t="shared" si="7"/>
        <v>0.29000000000000004</v>
      </c>
    </row>
    <row r="112" spans="1:12" x14ac:dyDescent="0.25">
      <c r="A112" t="str">
        <f t="shared" si="8"/>
        <v>Emp_111</v>
      </c>
      <c r="B112" t="s">
        <v>120</v>
      </c>
      <c r="C112" t="s">
        <v>153</v>
      </c>
      <c r="D112">
        <v>39</v>
      </c>
      <c r="E112">
        <v>52</v>
      </c>
      <c r="F112">
        <v>72</v>
      </c>
      <c r="G112">
        <v>99</v>
      </c>
      <c r="H112">
        <v>58</v>
      </c>
      <c r="I112">
        <f t="shared" si="5"/>
        <v>320</v>
      </c>
      <c r="J112" s="4">
        <v>500</v>
      </c>
      <c r="K112">
        <f t="shared" si="6"/>
        <v>0.64</v>
      </c>
      <c r="L112">
        <f t="shared" si="7"/>
        <v>0.36</v>
      </c>
    </row>
    <row r="113" spans="1:12" x14ac:dyDescent="0.25">
      <c r="A113" t="str">
        <f t="shared" si="8"/>
        <v>Emp_112</v>
      </c>
      <c r="B113" t="s">
        <v>121</v>
      </c>
      <c r="C113" t="s">
        <v>154</v>
      </c>
      <c r="D113">
        <v>93</v>
      </c>
      <c r="E113">
        <v>74</v>
      </c>
      <c r="F113">
        <v>85</v>
      </c>
      <c r="G113">
        <v>47</v>
      </c>
      <c r="H113">
        <v>90</v>
      </c>
      <c r="I113">
        <f t="shared" si="5"/>
        <v>389</v>
      </c>
      <c r="J113" s="4">
        <v>500</v>
      </c>
      <c r="K113">
        <f t="shared" si="6"/>
        <v>0.77800000000000002</v>
      </c>
      <c r="L113">
        <f t="shared" si="7"/>
        <v>0.22199999999999998</v>
      </c>
    </row>
    <row r="114" spans="1:12" x14ac:dyDescent="0.25">
      <c r="A114" t="str">
        <f t="shared" si="8"/>
        <v>Emp_113</v>
      </c>
      <c r="B114" t="s">
        <v>14</v>
      </c>
      <c r="C114" t="s">
        <v>147</v>
      </c>
      <c r="D114">
        <v>43</v>
      </c>
      <c r="E114">
        <v>88</v>
      </c>
      <c r="F114">
        <v>35</v>
      </c>
      <c r="G114">
        <v>54</v>
      </c>
      <c r="H114">
        <v>91</v>
      </c>
      <c r="I114">
        <f t="shared" si="5"/>
        <v>311</v>
      </c>
      <c r="J114" s="4">
        <v>500</v>
      </c>
      <c r="K114">
        <f t="shared" si="6"/>
        <v>0.622</v>
      </c>
      <c r="L114">
        <f t="shared" si="7"/>
        <v>0.378</v>
      </c>
    </row>
    <row r="115" spans="1:12" x14ac:dyDescent="0.25">
      <c r="A115" t="str">
        <f t="shared" si="8"/>
        <v>Emp_114</v>
      </c>
      <c r="B115" t="s">
        <v>122</v>
      </c>
      <c r="C115" t="s">
        <v>148</v>
      </c>
      <c r="D115">
        <v>87</v>
      </c>
      <c r="E115">
        <v>15</v>
      </c>
      <c r="F115">
        <v>11</v>
      </c>
      <c r="G115">
        <v>42</v>
      </c>
      <c r="H115">
        <v>88</v>
      </c>
      <c r="I115">
        <f t="shared" si="5"/>
        <v>243</v>
      </c>
      <c r="J115" s="4">
        <v>500</v>
      </c>
      <c r="K115">
        <f t="shared" si="6"/>
        <v>0.48599999999999999</v>
      </c>
      <c r="L115">
        <f t="shared" si="7"/>
        <v>0.51400000000000001</v>
      </c>
    </row>
    <row r="116" spans="1:12" x14ac:dyDescent="0.25">
      <c r="A116" t="str">
        <f t="shared" si="8"/>
        <v>Emp_115</v>
      </c>
      <c r="B116" t="s">
        <v>123</v>
      </c>
      <c r="C116" t="s">
        <v>149</v>
      </c>
      <c r="D116">
        <v>45</v>
      </c>
      <c r="E116">
        <v>45</v>
      </c>
      <c r="F116">
        <v>61</v>
      </c>
      <c r="G116">
        <v>11</v>
      </c>
      <c r="H116">
        <v>52</v>
      </c>
      <c r="I116">
        <f t="shared" si="5"/>
        <v>214</v>
      </c>
      <c r="J116" s="4">
        <v>500</v>
      </c>
      <c r="K116">
        <f t="shared" si="6"/>
        <v>0.42799999999999999</v>
      </c>
      <c r="L116">
        <f t="shared" si="7"/>
        <v>0.57200000000000006</v>
      </c>
    </row>
    <row r="117" spans="1:12" x14ac:dyDescent="0.25">
      <c r="A117" t="str">
        <f t="shared" si="8"/>
        <v>Emp_116</v>
      </c>
      <c r="B117" t="s">
        <v>124</v>
      </c>
      <c r="C117" t="s">
        <v>150</v>
      </c>
      <c r="D117">
        <v>71</v>
      </c>
      <c r="E117">
        <v>42</v>
      </c>
      <c r="F117">
        <v>17</v>
      </c>
      <c r="G117">
        <v>57</v>
      </c>
      <c r="H117">
        <v>96</v>
      </c>
      <c r="I117">
        <f t="shared" si="5"/>
        <v>283</v>
      </c>
      <c r="J117" s="4">
        <v>500</v>
      </c>
      <c r="K117">
        <f t="shared" si="6"/>
        <v>0.56599999999999995</v>
      </c>
      <c r="L117">
        <f t="shared" si="7"/>
        <v>0.43400000000000005</v>
      </c>
    </row>
    <row r="118" spans="1:12" x14ac:dyDescent="0.25">
      <c r="A118" t="str">
        <f t="shared" si="8"/>
        <v>Emp_117</v>
      </c>
      <c r="B118" t="s">
        <v>125</v>
      </c>
      <c r="C118" t="s">
        <v>151</v>
      </c>
      <c r="D118">
        <v>26</v>
      </c>
      <c r="E118">
        <v>65</v>
      </c>
      <c r="F118">
        <v>17</v>
      </c>
      <c r="G118">
        <v>28</v>
      </c>
      <c r="H118">
        <v>30</v>
      </c>
      <c r="I118">
        <f t="shared" si="5"/>
        <v>166</v>
      </c>
      <c r="J118" s="4">
        <v>500</v>
      </c>
      <c r="K118">
        <f t="shared" si="6"/>
        <v>0.33200000000000002</v>
      </c>
      <c r="L118">
        <f t="shared" si="7"/>
        <v>0.66799999999999993</v>
      </c>
    </row>
    <row r="119" spans="1:12" x14ac:dyDescent="0.25">
      <c r="A119" t="str">
        <f t="shared" si="8"/>
        <v>Emp_118</v>
      </c>
      <c r="B119" t="s">
        <v>44</v>
      </c>
      <c r="C119" t="s">
        <v>152</v>
      </c>
      <c r="D119">
        <v>31</v>
      </c>
      <c r="E119">
        <v>18</v>
      </c>
      <c r="F119">
        <v>21</v>
      </c>
      <c r="G119">
        <v>21</v>
      </c>
      <c r="H119">
        <v>33</v>
      </c>
      <c r="I119">
        <f t="shared" si="5"/>
        <v>124</v>
      </c>
      <c r="J119" s="4">
        <v>500</v>
      </c>
      <c r="K119">
        <f t="shared" si="6"/>
        <v>0.248</v>
      </c>
      <c r="L119">
        <f t="shared" si="7"/>
        <v>0.752</v>
      </c>
    </row>
    <row r="120" spans="1:12" x14ac:dyDescent="0.25">
      <c r="A120" t="str">
        <f t="shared" si="8"/>
        <v>Emp_119</v>
      </c>
      <c r="B120" t="s">
        <v>126</v>
      </c>
      <c r="C120" t="s">
        <v>153</v>
      </c>
      <c r="D120">
        <v>93</v>
      </c>
      <c r="E120">
        <v>11</v>
      </c>
      <c r="F120">
        <v>93</v>
      </c>
      <c r="G120">
        <v>31</v>
      </c>
      <c r="H120">
        <v>30</v>
      </c>
      <c r="I120">
        <f t="shared" si="5"/>
        <v>258</v>
      </c>
      <c r="J120" s="4">
        <v>500</v>
      </c>
      <c r="K120">
        <f t="shared" si="6"/>
        <v>0.51600000000000001</v>
      </c>
      <c r="L120">
        <f t="shared" si="7"/>
        <v>0.48399999999999999</v>
      </c>
    </row>
    <row r="121" spans="1:12" x14ac:dyDescent="0.25">
      <c r="A121" t="str">
        <f t="shared" si="8"/>
        <v>Emp_120</v>
      </c>
      <c r="B121" t="s">
        <v>127</v>
      </c>
      <c r="C121" t="s">
        <v>154</v>
      </c>
      <c r="D121">
        <v>65</v>
      </c>
      <c r="E121">
        <v>92</v>
      </c>
      <c r="F121">
        <v>48</v>
      </c>
      <c r="G121">
        <v>96</v>
      </c>
      <c r="H121">
        <v>15</v>
      </c>
      <c r="I121">
        <f t="shared" si="5"/>
        <v>316</v>
      </c>
      <c r="J121" s="4">
        <v>500</v>
      </c>
      <c r="K121">
        <f t="shared" si="6"/>
        <v>0.63200000000000001</v>
      </c>
      <c r="L121">
        <f t="shared" si="7"/>
        <v>0.36799999999999999</v>
      </c>
    </row>
    <row r="122" spans="1:12" x14ac:dyDescent="0.25">
      <c r="A122" t="str">
        <f t="shared" si="8"/>
        <v>Emp_121</v>
      </c>
      <c r="B122" t="s">
        <v>128</v>
      </c>
      <c r="C122" t="s">
        <v>147</v>
      </c>
      <c r="D122">
        <v>91</v>
      </c>
      <c r="E122">
        <v>38</v>
      </c>
      <c r="F122">
        <v>33</v>
      </c>
      <c r="G122">
        <v>55</v>
      </c>
      <c r="H122">
        <v>83</v>
      </c>
      <c r="I122">
        <f t="shared" si="5"/>
        <v>300</v>
      </c>
      <c r="J122" s="4">
        <v>500</v>
      </c>
      <c r="K122">
        <f t="shared" si="6"/>
        <v>0.6</v>
      </c>
      <c r="L122">
        <f t="shared" si="7"/>
        <v>0.4</v>
      </c>
    </row>
    <row r="123" spans="1:12" x14ac:dyDescent="0.25">
      <c r="A123" t="str">
        <f t="shared" si="8"/>
        <v>Emp_122</v>
      </c>
      <c r="B123" t="s">
        <v>129</v>
      </c>
      <c r="C123" t="s">
        <v>148</v>
      </c>
      <c r="D123">
        <v>20</v>
      </c>
      <c r="E123">
        <v>94</v>
      </c>
      <c r="F123">
        <v>45</v>
      </c>
      <c r="G123">
        <v>70</v>
      </c>
      <c r="H123">
        <v>98</v>
      </c>
      <c r="I123">
        <f t="shared" si="5"/>
        <v>327</v>
      </c>
      <c r="J123" s="4">
        <v>500</v>
      </c>
      <c r="K123">
        <f t="shared" si="6"/>
        <v>0.65400000000000003</v>
      </c>
      <c r="L123">
        <f t="shared" si="7"/>
        <v>0.34599999999999997</v>
      </c>
    </row>
    <row r="124" spans="1:12" x14ac:dyDescent="0.25">
      <c r="A124" t="str">
        <f t="shared" si="8"/>
        <v>Emp_123</v>
      </c>
      <c r="B124" t="s">
        <v>130</v>
      </c>
      <c r="C124" t="s">
        <v>149</v>
      </c>
      <c r="D124">
        <v>25</v>
      </c>
      <c r="E124">
        <v>83</v>
      </c>
      <c r="F124">
        <v>26</v>
      </c>
      <c r="G124">
        <v>68</v>
      </c>
      <c r="H124">
        <v>22</v>
      </c>
      <c r="I124">
        <f t="shared" si="5"/>
        <v>224</v>
      </c>
      <c r="J124" s="4">
        <v>500</v>
      </c>
      <c r="K124">
        <f t="shared" si="6"/>
        <v>0.44800000000000001</v>
      </c>
      <c r="L124">
        <f t="shared" si="7"/>
        <v>0.55200000000000005</v>
      </c>
    </row>
    <row r="125" spans="1:12" x14ac:dyDescent="0.25">
      <c r="A125" t="str">
        <f t="shared" si="8"/>
        <v>Emp_124</v>
      </c>
      <c r="B125" t="s">
        <v>131</v>
      </c>
      <c r="C125" t="s">
        <v>150</v>
      </c>
      <c r="D125">
        <v>26</v>
      </c>
      <c r="E125">
        <v>16</v>
      </c>
      <c r="F125">
        <v>61</v>
      </c>
      <c r="G125">
        <v>92</v>
      </c>
      <c r="H125">
        <v>50</v>
      </c>
      <c r="I125">
        <f t="shared" si="5"/>
        <v>245</v>
      </c>
      <c r="J125" s="4">
        <v>500</v>
      </c>
      <c r="K125">
        <f t="shared" si="6"/>
        <v>0.49</v>
      </c>
      <c r="L125">
        <f t="shared" si="7"/>
        <v>0.51</v>
      </c>
    </row>
    <row r="126" spans="1:12" x14ac:dyDescent="0.25">
      <c r="A126" t="str">
        <f t="shared" si="8"/>
        <v>Emp_125</v>
      </c>
      <c r="B126" t="s">
        <v>132</v>
      </c>
      <c r="C126" t="s">
        <v>151</v>
      </c>
      <c r="D126">
        <v>31</v>
      </c>
      <c r="E126">
        <v>55</v>
      </c>
      <c r="F126">
        <v>75</v>
      </c>
      <c r="G126">
        <v>66</v>
      </c>
      <c r="H126">
        <v>75</v>
      </c>
      <c r="I126">
        <f t="shared" si="5"/>
        <v>302</v>
      </c>
      <c r="J126" s="4">
        <v>500</v>
      </c>
      <c r="K126">
        <f t="shared" si="6"/>
        <v>0.60399999999999998</v>
      </c>
      <c r="L126">
        <f t="shared" si="7"/>
        <v>0.39600000000000002</v>
      </c>
    </row>
    <row r="127" spans="1:12" x14ac:dyDescent="0.25">
      <c r="A127" t="str">
        <f t="shared" si="8"/>
        <v>Emp_126</v>
      </c>
      <c r="B127" t="s">
        <v>133</v>
      </c>
      <c r="C127" t="s">
        <v>152</v>
      </c>
      <c r="D127">
        <v>41</v>
      </c>
      <c r="E127">
        <v>66</v>
      </c>
      <c r="F127">
        <v>48</v>
      </c>
      <c r="G127">
        <v>70</v>
      </c>
      <c r="H127">
        <v>48</v>
      </c>
      <c r="I127">
        <f t="shared" si="5"/>
        <v>273</v>
      </c>
      <c r="J127" s="4">
        <v>500</v>
      </c>
      <c r="K127">
        <f t="shared" si="6"/>
        <v>0.54600000000000004</v>
      </c>
      <c r="L127">
        <f t="shared" si="7"/>
        <v>0.45399999999999996</v>
      </c>
    </row>
    <row r="128" spans="1:12" x14ac:dyDescent="0.25">
      <c r="A128" t="str">
        <f t="shared" si="8"/>
        <v>Emp_127</v>
      </c>
      <c r="B128" t="s">
        <v>134</v>
      </c>
      <c r="C128" t="s">
        <v>153</v>
      </c>
      <c r="D128">
        <v>60</v>
      </c>
      <c r="E128">
        <v>92</v>
      </c>
      <c r="F128">
        <v>32</v>
      </c>
      <c r="G128">
        <v>60</v>
      </c>
      <c r="H128">
        <v>78</v>
      </c>
      <c r="I128">
        <f t="shared" si="5"/>
        <v>322</v>
      </c>
      <c r="J128" s="4">
        <v>500</v>
      </c>
      <c r="K128">
        <f t="shared" si="6"/>
        <v>0.64400000000000002</v>
      </c>
      <c r="L128">
        <f t="shared" si="7"/>
        <v>0.35599999999999998</v>
      </c>
    </row>
    <row r="129" spans="1:12" x14ac:dyDescent="0.25">
      <c r="A129" t="str">
        <f t="shared" si="8"/>
        <v>Emp_128</v>
      </c>
      <c r="B129" t="s">
        <v>135</v>
      </c>
      <c r="C129" t="s">
        <v>154</v>
      </c>
      <c r="D129">
        <v>42</v>
      </c>
      <c r="E129">
        <v>24</v>
      </c>
      <c r="F129">
        <v>19</v>
      </c>
      <c r="G129">
        <v>82</v>
      </c>
      <c r="H129">
        <v>16</v>
      </c>
      <c r="I129">
        <f t="shared" si="5"/>
        <v>183</v>
      </c>
      <c r="J129" s="4">
        <v>500</v>
      </c>
      <c r="K129">
        <f t="shared" si="6"/>
        <v>0.36599999999999999</v>
      </c>
      <c r="L129">
        <f t="shared" si="7"/>
        <v>0.63400000000000001</v>
      </c>
    </row>
    <row r="130" spans="1:12" x14ac:dyDescent="0.25">
      <c r="A130" t="str">
        <f t="shared" si="8"/>
        <v>Emp_129</v>
      </c>
      <c r="B130" t="s">
        <v>43</v>
      </c>
      <c r="C130" t="s">
        <v>147</v>
      </c>
      <c r="D130">
        <v>26</v>
      </c>
      <c r="E130">
        <v>85</v>
      </c>
      <c r="F130">
        <v>75</v>
      </c>
      <c r="G130">
        <v>83</v>
      </c>
      <c r="H130">
        <v>37</v>
      </c>
      <c r="I130">
        <f t="shared" si="5"/>
        <v>306</v>
      </c>
      <c r="J130" s="4">
        <v>500</v>
      </c>
      <c r="K130">
        <f t="shared" si="6"/>
        <v>0.61199999999999999</v>
      </c>
      <c r="L130">
        <f t="shared" si="7"/>
        <v>0.38800000000000001</v>
      </c>
    </row>
    <row r="131" spans="1:12" x14ac:dyDescent="0.25">
      <c r="A131" t="str">
        <f t="shared" si="8"/>
        <v>Emp_130</v>
      </c>
      <c r="B131" t="s">
        <v>136</v>
      </c>
      <c r="C131" t="s">
        <v>148</v>
      </c>
      <c r="D131">
        <v>81</v>
      </c>
      <c r="E131">
        <v>68</v>
      </c>
      <c r="F131">
        <v>74</v>
      </c>
      <c r="G131">
        <v>72</v>
      </c>
      <c r="H131">
        <v>12</v>
      </c>
      <c r="I131">
        <f t="shared" ref="I131:I142" si="9">SUM(D131:H131)</f>
        <v>307</v>
      </c>
      <c r="J131" s="4">
        <v>500</v>
      </c>
      <c r="K131">
        <f t="shared" ref="K131:K142" si="10">I131/J131</f>
        <v>0.61399999999999999</v>
      </c>
      <c r="L131">
        <f t="shared" ref="L131:L142" si="11">100%-K131</f>
        <v>0.38600000000000001</v>
      </c>
    </row>
    <row r="132" spans="1:12" x14ac:dyDescent="0.25">
      <c r="A132" t="str">
        <f t="shared" si="8"/>
        <v>Emp_131</v>
      </c>
      <c r="B132" t="s">
        <v>137</v>
      </c>
      <c r="C132" t="s">
        <v>149</v>
      </c>
      <c r="D132">
        <v>90</v>
      </c>
      <c r="E132">
        <v>79</v>
      </c>
      <c r="F132">
        <v>99</v>
      </c>
      <c r="G132">
        <v>60</v>
      </c>
      <c r="H132">
        <v>27</v>
      </c>
      <c r="I132">
        <f t="shared" si="9"/>
        <v>355</v>
      </c>
      <c r="J132" s="4">
        <v>500</v>
      </c>
      <c r="K132">
        <f t="shared" si="10"/>
        <v>0.71</v>
      </c>
      <c r="L132">
        <f t="shared" si="11"/>
        <v>0.29000000000000004</v>
      </c>
    </row>
    <row r="133" spans="1:12" x14ac:dyDescent="0.25">
      <c r="A133" t="str">
        <f t="shared" si="8"/>
        <v>Emp_132</v>
      </c>
      <c r="B133" t="s">
        <v>138</v>
      </c>
      <c r="C133" t="s">
        <v>150</v>
      </c>
      <c r="D133">
        <v>71</v>
      </c>
      <c r="E133">
        <v>21</v>
      </c>
      <c r="F133">
        <v>70</v>
      </c>
      <c r="G133">
        <v>53</v>
      </c>
      <c r="H133">
        <v>49</v>
      </c>
      <c r="I133">
        <f t="shared" si="9"/>
        <v>264</v>
      </c>
      <c r="J133" s="4">
        <v>500</v>
      </c>
      <c r="K133">
        <f t="shared" si="10"/>
        <v>0.52800000000000002</v>
      </c>
      <c r="L133">
        <f t="shared" si="11"/>
        <v>0.47199999999999998</v>
      </c>
    </row>
    <row r="134" spans="1:12" x14ac:dyDescent="0.25">
      <c r="A134" t="str">
        <f t="shared" si="8"/>
        <v>Emp_133</v>
      </c>
      <c r="B134" t="s">
        <v>139</v>
      </c>
      <c r="C134" t="s">
        <v>151</v>
      </c>
      <c r="D134">
        <v>86</v>
      </c>
      <c r="E134">
        <v>60</v>
      </c>
      <c r="F134">
        <v>59</v>
      </c>
      <c r="G134">
        <v>51</v>
      </c>
      <c r="H134">
        <v>90</v>
      </c>
      <c r="I134">
        <f t="shared" si="9"/>
        <v>346</v>
      </c>
      <c r="J134" s="4">
        <v>500</v>
      </c>
      <c r="K134">
        <f t="shared" si="10"/>
        <v>0.69199999999999995</v>
      </c>
      <c r="L134">
        <f t="shared" si="11"/>
        <v>0.30800000000000005</v>
      </c>
    </row>
    <row r="135" spans="1:12" x14ac:dyDescent="0.25">
      <c r="A135" t="str">
        <f t="shared" si="8"/>
        <v>Emp_134</v>
      </c>
      <c r="B135" t="s">
        <v>140</v>
      </c>
      <c r="C135" t="s">
        <v>152</v>
      </c>
      <c r="D135">
        <v>68</v>
      </c>
      <c r="E135">
        <v>61</v>
      </c>
      <c r="F135">
        <v>12</v>
      </c>
      <c r="G135">
        <v>41</v>
      </c>
      <c r="H135">
        <v>35</v>
      </c>
      <c r="I135">
        <f t="shared" si="9"/>
        <v>217</v>
      </c>
      <c r="J135" s="4">
        <v>500</v>
      </c>
      <c r="K135">
        <f t="shared" si="10"/>
        <v>0.434</v>
      </c>
      <c r="L135">
        <f t="shared" si="11"/>
        <v>0.56600000000000006</v>
      </c>
    </row>
    <row r="136" spans="1:12" x14ac:dyDescent="0.25">
      <c r="A136" t="str">
        <f t="shared" si="8"/>
        <v>Emp_135</v>
      </c>
      <c r="B136" t="s">
        <v>141</v>
      </c>
      <c r="C136" t="s">
        <v>153</v>
      </c>
      <c r="D136">
        <v>65</v>
      </c>
      <c r="E136">
        <v>34</v>
      </c>
      <c r="F136">
        <v>15</v>
      </c>
      <c r="G136">
        <v>86</v>
      </c>
      <c r="H136">
        <v>71</v>
      </c>
      <c r="I136">
        <f t="shared" si="9"/>
        <v>271</v>
      </c>
      <c r="J136" s="4">
        <v>500</v>
      </c>
      <c r="K136">
        <f t="shared" si="10"/>
        <v>0.54200000000000004</v>
      </c>
      <c r="L136">
        <f t="shared" si="11"/>
        <v>0.45799999999999996</v>
      </c>
    </row>
    <row r="137" spans="1:12" x14ac:dyDescent="0.25">
      <c r="A137" t="str">
        <f t="shared" si="8"/>
        <v>Emp_136</v>
      </c>
      <c r="B137" t="s">
        <v>142</v>
      </c>
      <c r="C137" t="s">
        <v>154</v>
      </c>
      <c r="D137">
        <v>91</v>
      </c>
      <c r="E137">
        <v>21</v>
      </c>
      <c r="F137">
        <v>59</v>
      </c>
      <c r="G137">
        <v>85</v>
      </c>
      <c r="H137">
        <v>60</v>
      </c>
      <c r="I137">
        <f t="shared" si="9"/>
        <v>316</v>
      </c>
      <c r="J137" s="4">
        <v>500</v>
      </c>
      <c r="K137">
        <f t="shared" si="10"/>
        <v>0.63200000000000001</v>
      </c>
      <c r="L137">
        <f t="shared" si="11"/>
        <v>0.36799999999999999</v>
      </c>
    </row>
    <row r="138" spans="1:12" x14ac:dyDescent="0.25">
      <c r="A138" t="str">
        <f t="shared" si="8"/>
        <v>Emp_137</v>
      </c>
      <c r="B138" t="s">
        <v>44</v>
      </c>
      <c r="C138" t="s">
        <v>147</v>
      </c>
      <c r="D138">
        <v>73</v>
      </c>
      <c r="E138">
        <v>43</v>
      </c>
      <c r="F138">
        <v>22</v>
      </c>
      <c r="G138">
        <v>56</v>
      </c>
      <c r="H138">
        <v>43</v>
      </c>
      <c r="I138">
        <f t="shared" si="9"/>
        <v>237</v>
      </c>
      <c r="J138" s="4">
        <v>500</v>
      </c>
      <c r="K138">
        <f t="shared" si="10"/>
        <v>0.47399999999999998</v>
      </c>
      <c r="L138">
        <f t="shared" si="11"/>
        <v>0.52600000000000002</v>
      </c>
    </row>
    <row r="139" spans="1:12" x14ac:dyDescent="0.25">
      <c r="A139" t="str">
        <f t="shared" si="8"/>
        <v>Emp_138</v>
      </c>
      <c r="B139" t="s">
        <v>143</v>
      </c>
      <c r="C139" t="s">
        <v>148</v>
      </c>
      <c r="D139">
        <v>72</v>
      </c>
      <c r="E139">
        <v>49</v>
      </c>
      <c r="F139">
        <v>93</v>
      </c>
      <c r="G139">
        <v>95</v>
      </c>
      <c r="H139">
        <v>73</v>
      </c>
      <c r="I139">
        <f t="shared" si="9"/>
        <v>382</v>
      </c>
      <c r="J139" s="4">
        <v>500</v>
      </c>
      <c r="K139">
        <f t="shared" si="10"/>
        <v>0.76400000000000001</v>
      </c>
      <c r="L139">
        <f t="shared" si="11"/>
        <v>0.23599999999999999</v>
      </c>
    </row>
    <row r="140" spans="1:12" x14ac:dyDescent="0.25">
      <c r="A140" t="str">
        <f t="shared" ref="A140:A142" si="12">"Emp_" &amp; TEXT(ROW()-1, "000")</f>
        <v>Emp_139</v>
      </c>
      <c r="B140" t="s">
        <v>144</v>
      </c>
      <c r="C140" t="s">
        <v>149</v>
      </c>
      <c r="D140">
        <v>85</v>
      </c>
      <c r="E140">
        <v>43</v>
      </c>
      <c r="F140">
        <v>74</v>
      </c>
      <c r="G140">
        <v>26</v>
      </c>
      <c r="H140">
        <v>88</v>
      </c>
      <c r="I140">
        <f t="shared" si="9"/>
        <v>316</v>
      </c>
      <c r="J140" s="4">
        <v>500</v>
      </c>
      <c r="K140">
        <f t="shared" si="10"/>
        <v>0.63200000000000001</v>
      </c>
      <c r="L140">
        <f t="shared" si="11"/>
        <v>0.36799999999999999</v>
      </c>
    </row>
    <row r="141" spans="1:12" x14ac:dyDescent="0.25">
      <c r="A141" t="str">
        <f t="shared" si="12"/>
        <v>Emp_140</v>
      </c>
      <c r="B141" t="s">
        <v>145</v>
      </c>
      <c r="C141" t="s">
        <v>150</v>
      </c>
      <c r="D141">
        <v>77</v>
      </c>
      <c r="E141">
        <v>81</v>
      </c>
      <c r="F141">
        <v>10</v>
      </c>
      <c r="G141">
        <v>65</v>
      </c>
      <c r="H141">
        <v>83</v>
      </c>
      <c r="I141">
        <f t="shared" si="9"/>
        <v>316</v>
      </c>
      <c r="J141" s="4">
        <v>500</v>
      </c>
      <c r="K141">
        <f t="shared" si="10"/>
        <v>0.63200000000000001</v>
      </c>
      <c r="L141">
        <f t="shared" si="11"/>
        <v>0.36799999999999999</v>
      </c>
    </row>
    <row r="142" spans="1:12" x14ac:dyDescent="0.25">
      <c r="A142" t="str">
        <f t="shared" si="12"/>
        <v>Emp_141</v>
      </c>
      <c r="B142" t="s">
        <v>146</v>
      </c>
      <c r="C142" t="s">
        <v>151</v>
      </c>
      <c r="D142">
        <v>46</v>
      </c>
      <c r="E142">
        <v>52</v>
      </c>
      <c r="F142">
        <v>57</v>
      </c>
      <c r="G142">
        <v>67</v>
      </c>
      <c r="H142">
        <v>64</v>
      </c>
      <c r="I142">
        <f t="shared" si="9"/>
        <v>286</v>
      </c>
      <c r="J142" s="4">
        <v>500</v>
      </c>
      <c r="K142">
        <f t="shared" si="10"/>
        <v>0.57199999999999995</v>
      </c>
      <c r="L142">
        <f t="shared" si="11"/>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Dashboard_007</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01-135211-007</dc:creator>
  <cp:lastModifiedBy>01-135211-007</cp:lastModifiedBy>
  <dcterms:created xsi:type="dcterms:W3CDTF">2025-05-21T03:58:29Z</dcterms:created>
  <dcterms:modified xsi:type="dcterms:W3CDTF">2025-05-23T10:52:45Z</dcterms:modified>
</cp:coreProperties>
</file>